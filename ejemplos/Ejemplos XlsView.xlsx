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Índice" state="visible" r:id="rId4"/>
    <sheet sheetId="2" name="Fórmulas" state="visible" r:id="rId5"/>
    <sheet sheetId="3" name="Anidamientos" state="visible" r:id="rId6"/>
    <sheet sheetId="4" name="Funciones" state="visible" r:id="rId7"/>
    <sheet sheetId="5" name="Funciones propias" state="visible" r:id="rId8"/>
    <sheet sheetId="6" name="Banco de funciones" state="visible" r:id="rId9"/>
    <sheet sheetId="7" name="Macros" state="visible" r:id="rId10"/>
    <sheet sheetId="8" name="Limitaciones" state="visible" r:id="rId11"/>
  </sheets>
  <calcPr calcId="171027"/>
</workbook>
</file>

<file path=xl/sharedStrings.xml><?xml version="1.0" encoding="utf-8"?>
<sst xmlns="http://schemas.openxmlformats.org/spreadsheetml/2006/main" count="329" uniqueCount="306">
  <si>
    <t>📊 XlsView — Ejemplos de fórmulas, funciones y macros</t>
  </si>
  <si>
    <t>Motor: Univer 0.5.5 · 525 funciones · construido y verificado en la app real</t>
  </si>
  <si>
    <t>Hoja</t>
  </si>
  <si>
    <t>Contenido</t>
  </si>
  <si>
    <t>Fórmulas</t>
  </si>
  <si>
    <t>Operadores, precedencia, referencias, rangos, texto y comparaciones</t>
  </si>
  <si>
    <t>Anidamientos</t>
  </si>
  <si>
    <t>Funciones dentro de funciones, IF/IFS anidados, LAMBDA y LET</t>
  </si>
  <si>
    <t>Funciones</t>
  </si>
  <si>
    <t>Catálogo por categoría: lógicas, texto, fecha, búsqueda, matemática/estadística</t>
  </si>
  <si>
    <t>Funciones propias</t>
  </si>
  <si>
    <t>Las 5 originales: IVA, NETO, MANOOBRA, POTENCIA3F, CAIDATENSION</t>
  </si>
  <si>
    <t>Banco de funciones</t>
  </si>
  <si>
    <t>38 funciones propias por rubro: comercial, finanzas, eléctrica, mate, conversión, texto, fecha</t>
  </si>
  <si>
    <t>Macros</t>
  </si>
  <si>
    <t>Scripts JavaScript para el botón ⚡ Macro, con su código listo para copiar</t>
  </si>
  <si>
    <t>Limitaciones</t>
  </si>
  <si>
    <t>Qué NO funciona todavía (arrays con derrame) y cómo sortearlo</t>
  </si>
  <si>
    <t>Consejo:</t>
  </si>
  <si>
    <t>Haz clic en cualquier celda con fórmula (columna con fondo amarillo) para ver la fórmula en la barra.</t>
  </si>
  <si>
    <t>➕ Fórmulas básicas</t>
  </si>
  <si>
    <t>Operadores aritméticos, comparación, texto, referencias y rangos. La columna amarilla contiene la fórmula viva.</t>
  </si>
  <si>
    <t>Qué hace</t>
  </si>
  <si>
    <t>Fórmula</t>
  </si>
  <si>
    <t>Resultado</t>
  </si>
  <si>
    <t>Aritmética y precedencia</t>
  </si>
  <si>
    <t>Suma, resta, multiplicación</t>
  </si>
  <si>
    <t>=2+3*4-1</t>
  </si>
  <si>
    <t>Paréntesis cambian la precedencia</t>
  </si>
  <si>
    <t>=(2+3)*4</t>
  </si>
  <si>
    <t>División y decimales</t>
  </si>
  <si>
    <t>=10/4</t>
  </si>
  <si>
    <t>Potencia</t>
  </si>
  <si>
    <t>=2^10</t>
  </si>
  <si>
    <t>Porcentaje (sufijo %): 512</t>
  </si>
  <si>
    <t>=1024*0.5</t>
  </si>
  <si>
    <t>Negativo y unario</t>
  </si>
  <si>
    <t>=-5+8</t>
  </si>
  <si>
    <t>Comparación (devuelven VERDADERO/FALSO)</t>
  </si>
  <si>
    <t>Mayor que</t>
  </si>
  <si>
    <t>=10&gt;3</t>
  </si>
  <si>
    <t>Distinto de</t>
  </si>
  <si>
    <t>=5&lt;&gt;5</t>
  </si>
  <si>
    <t>Apoyo →</t>
  </si>
  <si>
    <t>Comparación usada en aritmética</t>
  </si>
  <si>
    <t>=(5&gt;3)*100</t>
  </si>
  <si>
    <t>Texto</t>
  </si>
  <si>
    <t>Concatenar con &amp;</t>
  </si>
  <si>
    <t>="Hola "&amp;"mundo"</t>
  </si>
  <si>
    <t>Concatenar número</t>
  </si>
  <si>
    <t>="Total: "&amp;(2+3)</t>
  </si>
  <si>
    <t>Referencias y rangos</t>
  </si>
  <si>
    <t>Referencia a otra celda (G14 = 42)</t>
  </si>
  <si>
    <t>=G14</t>
  </si>
  <si>
    <t>Suma de un rango</t>
  </si>
  <si>
    <t>=SUM(G14:G16)</t>
  </si>
  <si>
    <t>Referencia entre hojas</t>
  </si>
  <si>
    <t>='Funciones propias'!D6</t>
  </si>
  <si>
    <t>Literal de matriz (suma)</t>
  </si>
  <si>
    <t>=SUM({1,2,3;4,5,6})</t>
  </si>
  <si>
    <t>🔗 Anidamientos de funciones</t>
  </si>
  <si>
    <t>Funciones dentro de funciones. El motor evalúa de dentro hacia afuera, sin límite práctico de profundidad.</t>
  </si>
  <si>
    <t>IF anidado (if/then/else)</t>
  </si>
  <si>
    <t>IF simple</t>
  </si>
  <si>
    <t>=IF(10&gt;5,"sí","no")</t>
  </si>
  <si>
    <t>IF dentro de IF (2 niveles)</t>
  </si>
  <si>
    <t>=IF(G14&gt;50,"alto",IF(G14&gt;10,"medio","bajo"))</t>
  </si>
  <si>
    <t>IFS (varias condiciones)</t>
  </si>
  <si>
    <t>=IFS(G14&gt;100,"A",G14&gt;40,"B",TRUE,"C")</t>
  </si>
  <si>
    <t>SWITCH</t>
  </si>
  <si>
    <t>=SWITCH(3,1,"uno",2,"dos",3,"tres","otro")</t>
  </si>
  <si>
    <t>IFERROR envuelve un error</t>
  </si>
  <si>
    <t>=IFERROR(10/0,"sin dividir")</t>
  </si>
  <si>
    <t>Anidar funciones de cálculo</t>
  </si>
  <si>
    <t>ROUND(AVERAGE(...))</t>
  </si>
  <si>
    <t>=ROUND(AVERAGE(G14:G16),1)</t>
  </si>
  <si>
    <t>SUM dentro de un IF</t>
  </si>
  <si>
    <t>=IF(SUM(G14:G16)&gt;50,"supera","no")</t>
  </si>
  <si>
    <t>MAX de dos SUM</t>
  </si>
  <si>
    <t>=MAX(SUM(G14:G15),SUM(G15:G16))</t>
  </si>
  <si>
    <t>Texto + número redondeado</t>
  </si>
  <si>
    <t>="Prom: "&amp;ROUND(AVERAGE(G14:G16),2)</t>
  </si>
  <si>
    <t>LAMBDA y LET (funciones modernas)</t>
  </si>
  <si>
    <t>LAMBDA en línea (x→x²) con 7</t>
  </si>
  <si>
    <t>=LAMBDA(x,x*x)(7)</t>
  </si>
  <si>
    <t>LET (variables locales)</t>
  </si>
  <si>
    <t>=LET(a,5,b,3,a*b+a)</t>
  </si>
  <si>
    <t>MAP+LAMBDA consumido por SUM</t>
  </si>
  <si>
    <t>=SUM(MAP(G14:G16,LAMBDA(v,v*2)))</t>
  </si>
  <si>
    <t>REDUCE (acumular)</t>
  </si>
  <si>
    <t>=REDUCE(0,G14:G16,LAMBDA(acc,v,acc+v))</t>
  </si>
  <si>
    <t>🧮 Catálogo de funciones por categoría</t>
  </si>
  <si>
    <t>Una muestra representativa de las 525 funciones. Datos de apoyo en la zona F14:H18.</t>
  </si>
  <si>
    <t>Lógicas</t>
  </si>
  <si>
    <t>AND / OR / NOT</t>
  </si>
  <si>
    <t>=AND(5&gt;1,3&lt;9)</t>
  </si>
  <si>
    <t>XOR</t>
  </si>
  <si>
    <t>=XOR(TRUE,FALSE)</t>
  </si>
  <si>
    <t>LEFT / RIGHT / MID</t>
  </si>
  <si>
    <t>=MID("Univer",2,3)</t>
  </si>
  <si>
    <t>LEN (longitud)</t>
  </si>
  <si>
    <t>=LEN("hoja de cálculo")</t>
  </si>
  <si>
    <t>UPPER / LOWER / PROPER</t>
  </si>
  <si>
    <t>=PROPER("juan pérez")</t>
  </si>
  <si>
    <t>SUBSTITUTE (reemplazar)</t>
  </si>
  <si>
    <t>=SUBSTITUTE("a-b-c","-","/")</t>
  </si>
  <si>
    <t>Tabla de apoyo (VLOOKUP / INDEX / XLOOKUP):</t>
  </si>
  <si>
    <t>TEXT (formato)</t>
  </si>
  <si>
    <t>=TEXT(1234.5,"#,##0.00")</t>
  </si>
  <si>
    <t>Cód</t>
  </si>
  <si>
    <t>Nombre</t>
  </si>
  <si>
    <t>Valor</t>
  </si>
  <si>
    <t>TEXTJOIN</t>
  </si>
  <si>
    <t>=TEXTJOIN("-",TRUE,"a","b","c")</t>
  </si>
  <si>
    <t>A</t>
  </si>
  <si>
    <t>Alfa</t>
  </si>
  <si>
    <t>REGEXEXTRACT (regex)</t>
  </si>
  <si>
    <t>=REGEXEXTRACT("Orden 1234","[0-9]+")</t>
  </si>
  <si>
    <t>B</t>
  </si>
  <si>
    <t>Beta</t>
  </si>
  <si>
    <t>Fecha y hora</t>
  </si>
  <si>
    <t>C</t>
  </si>
  <si>
    <t>Gamma</t>
  </si>
  <si>
    <t>HOY / AHORA</t>
  </si>
  <si>
    <t>=TODAY()</t>
  </si>
  <si>
    <t>D</t>
  </si>
  <si>
    <t>Delta</t>
  </si>
  <si>
    <t>DÍAS entre fechas</t>
  </si>
  <si>
    <t>=DAYS(DATE(2026,12,31),DATE(2026,1,1))</t>
  </si>
  <si>
    <t>DATEDIF (meses)</t>
  </si>
  <si>
    <t>=DATEDIF(DATE(2025,1,1),DATE(2026,3,1),"m")</t>
  </si>
  <si>
    <t>EOMONTH (fin de mes)</t>
  </si>
  <si>
    <t>=EOMONTH(DATE(2026,2,15),0)</t>
  </si>
  <si>
    <t>Búsqueda y referencia</t>
  </si>
  <si>
    <t>VLOOKUP (tabla F14:H18)</t>
  </si>
  <si>
    <t>=VLOOKUP("B",F14:H18,3,FALSE)</t>
  </si>
  <si>
    <t>INDEX + MATCH</t>
  </si>
  <si>
    <t>=INDEX(H14:H18,MATCH("C",F14:F18,0))</t>
  </si>
  <si>
    <t>XLOOKUP</t>
  </si>
  <si>
    <t>=XLOOKUP("D",F14:F18,H14:H18)</t>
  </si>
  <si>
    <t>CHOOSE</t>
  </si>
  <si>
    <t>=CHOOSE(2,"rojo","verde","azul")</t>
  </si>
  <si>
    <t>Matemática y estadística</t>
  </si>
  <si>
    <t>SUMIF (con criterio)</t>
  </si>
  <si>
    <t>=SUMIF(H14:H18,"&gt;20")</t>
  </si>
  <si>
    <t>COUNTIF</t>
  </si>
  <si>
    <t>=COUNTIF(F14:F18,"?")</t>
  </si>
  <si>
    <t>AVERAGE / MEDIAN</t>
  </si>
  <si>
    <t>=MEDIAN(H14:H18)</t>
  </si>
  <si>
    <t>SUMPRODUCT</t>
  </si>
  <si>
    <t>=SUMPRODUCT(H14:H18,H14:H18)</t>
  </si>
  <si>
    <t>ROUND / MOD / POWER</t>
  </si>
  <si>
    <t>=MOD(17,5)</t>
  </si>
  <si>
    <t>⚙️ Funciones propias de XlsView</t>
  </si>
  <si>
    <t>Registradas por la app con registerFunction. Se usan y se anidan igual que las nativas. (Fuera de XlsView darán #NOMBRE?.)</t>
  </si>
  <si>
    <t>Comercial / contable</t>
  </si>
  <si>
    <t>IVA — aplica IVA (21% por defecto)</t>
  </si>
  <si>
    <t>=IVA(1000)</t>
  </si>
  <si>
    <t>IVA — con tasa (10.5%)</t>
  </si>
  <si>
    <t>=IVA(1000,0.105)</t>
  </si>
  <si>
    <t>NETO — quita el IVA de un total</t>
  </si>
  <si>
    <t>=NETO(1210)</t>
  </si>
  <si>
    <t>MANOOBRA — horas·valor·(1+cargas)</t>
  </si>
  <si>
    <t>=MANOOBRA(10,65000,0.35)</t>
  </si>
  <si>
    <t>Eléctricas</t>
  </si>
  <si>
    <t>POTENCIA3F — √3·V·I·cosφ (W)</t>
  </si>
  <si>
    <t>=POTENCIA3F(380,20,0.85)</t>
  </si>
  <si>
    <t>CAIDATENSION — 2·L·I/(κ·S) (V)</t>
  </si>
  <si>
    <t>=CAIDATENSION(50,20,4)</t>
  </si>
  <si>
    <t>Anidadas con funciones nativas</t>
  </si>
  <si>
    <t>Redondear el IVA</t>
  </si>
  <si>
    <t>=ROUND(IVA(1000),0)</t>
  </si>
  <si>
    <t>Total con IVA formateado</t>
  </si>
  <si>
    <t>="$ "&amp;TEXT(IVA(2500),"#,##0.00")</t>
  </si>
  <si>
    <t>Potencia en kW (dividir /1000)</t>
  </si>
  <si>
    <t>=ROUND(POTENCIA3F(380,20,0.85)/1000,2)</t>
  </si>
  <si>
    <t>¿Caída aceptable? (&lt;3%·230V)</t>
  </si>
  <si>
    <t>=IF(CAIDATENSION(50,20,4)&lt;230*0.03,"OK","Revisar")</t>
  </si>
  <si>
    <t>🏦 Banco de funciones propias de XlsView</t>
  </si>
  <si>
    <t>38 funciones registradas por la app, agrupadas por rubro. Se usan y anidan igual que las nativas.</t>
  </si>
  <si>
    <t>IVA — aplica IVA (21% def.)</t>
  </si>
  <si>
    <t>NETO — quita el IVA</t>
  </si>
  <si>
    <t>IIBB — ingresos brutos</t>
  </si>
  <si>
    <t>=IIBB(1000,0.03)</t>
  </si>
  <si>
    <t>PRECIOVENTA — según margen</t>
  </si>
  <si>
    <t>=PRECIOVENTA(600,0.4)</t>
  </si>
  <si>
    <t>MARGEN — sobre venta</t>
  </si>
  <si>
    <t>=MARGEN(600,1000)</t>
  </si>
  <si>
    <t>MARKUP — recargo sobre costo</t>
  </si>
  <si>
    <t>=MARKUP(600,1000)</t>
  </si>
  <si>
    <t>DESCUENTO — precio con dto.</t>
  </si>
  <si>
    <t>=DESCUENTO(1000,0.15)</t>
  </si>
  <si>
    <t>VARIACIONPCT — % de cambio</t>
  </si>
  <si>
    <t>=VARIACIONPCT(100,150)</t>
  </si>
  <si>
    <t>PORCENTAJEDE — parte/total</t>
  </si>
  <si>
    <t>=PORCENTAJEDE(30,120)</t>
  </si>
  <si>
    <t>Finanzas</t>
  </si>
  <si>
    <t>INTERESSIMPLE</t>
  </si>
  <si>
    <t>=INTERESSIMPLE(1000,0.05,3)</t>
  </si>
  <si>
    <t>INTERESCOMP — interés ganado</t>
  </si>
  <si>
    <t>=INTERESCOMP(1000,0.05,3)</t>
  </si>
  <si>
    <t>VALORFUTURO</t>
  </si>
  <si>
    <t>=VALORFUTURO(1000,0.05,3)</t>
  </si>
  <si>
    <t>CUOTAFIJA — sistema francés</t>
  </si>
  <si>
    <t>=CUOTAFIJA(12000,0.03,12)</t>
  </si>
  <si>
    <t>TASAEFECTIVA — TEA</t>
  </si>
  <si>
    <t>=TASAEFECTIVA(0.24,12)</t>
  </si>
  <si>
    <t>Ingeniería eléctrica</t>
  </si>
  <si>
    <t>POTENCIA3F — trifásica (W)</t>
  </si>
  <si>
    <t>POTENCIA1F — monofásica (W)</t>
  </si>
  <si>
    <t>=POTENCIA1F(220,10,0.9)</t>
  </si>
  <si>
    <t>CAIDATENSION — monofásica (V)</t>
  </si>
  <si>
    <t>CAIDA3F — trifásica (V)</t>
  </si>
  <si>
    <t>=CAIDA3F(50,20,4,0.85)</t>
  </si>
  <si>
    <t>OHM — corriente (A)</t>
  </si>
  <si>
    <t>=OHM(220,10)</t>
  </si>
  <si>
    <t>CONSUMOKWH — costo ($)</t>
  </si>
  <si>
    <t>=CONSUMOKWH(2000,5,80)</t>
  </si>
  <si>
    <t>FACTORPOT — factor de potencia</t>
  </si>
  <si>
    <t>=FACTORPOT(10,220,2500)</t>
  </si>
  <si>
    <t>Matemática / geometría</t>
  </si>
  <si>
    <t>HIPOTENUSA — Pitágoras</t>
  </si>
  <si>
    <t>=HIPOTENUSA(3,4)</t>
  </si>
  <si>
    <t>AREACIRCULO</t>
  </si>
  <si>
    <t>=AREACIRCULO(2)</t>
  </si>
  <si>
    <t>AREATRIANGULO</t>
  </si>
  <si>
    <t>=AREATRIANGULO(10,6)</t>
  </si>
  <si>
    <t>REDONDEARM — al múltiplo</t>
  </si>
  <si>
    <t>=REDONDEARM(47,5)</t>
  </si>
  <si>
    <t>IMC — masa corporal</t>
  </si>
  <si>
    <t>=IMC(80,1.75)</t>
  </si>
  <si>
    <t>REGLA3 — regla de tres</t>
  </si>
  <si>
    <t>=REGLA3(3,6,10)</t>
  </si>
  <si>
    <t>Conversión</t>
  </si>
  <si>
    <t>CELSIUS_F — °C→°F</t>
  </si>
  <si>
    <t>=CELSIUS_F(100)</t>
  </si>
  <si>
    <t>FAHRENHEIT_C — °F→°C</t>
  </si>
  <si>
    <t>=FAHRENHEIT_C(212)</t>
  </si>
  <si>
    <t>CV_W — caballos→watts</t>
  </si>
  <si>
    <t>=CV_W(1)</t>
  </si>
  <si>
    <t>CONSUMOKML — km/litro</t>
  </si>
  <si>
    <t>=CONSUMOKML(500,40)</t>
  </si>
  <si>
    <t>Texto / utilidad</t>
  </si>
  <si>
    <t>INICIALES</t>
  </si>
  <si>
    <t>=INICIALES("Juan Carlos Pérez")</t>
  </si>
  <si>
    <t>SOLONUMEROS — deja dígitos</t>
  </si>
  <si>
    <t>=SOLONUMEROS("AB-12-3x4")</t>
  </si>
  <si>
    <t>TITULAR — Mayúscula Inicial</t>
  </si>
  <si>
    <t>=TITULAR("hola mundo cruel")</t>
  </si>
  <si>
    <t>CONTARPALABRAS</t>
  </si>
  <si>
    <t>=CONTARPALABRAS("uno dos tres")</t>
  </si>
  <si>
    <t>Fecha</t>
  </si>
  <si>
    <t>EDAD — años desde una fecha</t>
  </si>
  <si>
    <t>=EDAD(DATE(1990,6,15))</t>
  </si>
  <si>
    <t>TRIMESTRE — 1..4 de una fecha</t>
  </si>
  <si>
    <t>=TRIMESTRE(DATE(2026,8,1))</t>
  </si>
  <si>
    <t>Web / XML</t>
  </si>
  <si>
    <t>ENCODEURL — codifica una URL</t>
  </si>
  <si>
    <t>=ENCODEURL("a b&amp;c")</t>
  </si>
  <si>
    <t>FILTERXML — XPath sobre XML</t>
  </si>
  <si>
    <t>=FILTERXML("&lt;r&gt;&lt;i&gt;7&lt;/i&gt;&lt;/r&gt;","//i")</t>
  </si>
  <si>
    <t>WEBSERVICE — texto de una URL</t>
  </si>
  <si>
    <t>=WEBSERVICE("https://api.github.com/zen")</t>
  </si>
  <si>
    <t>⚡ Macros — automatización con JavaScript</t>
  </si>
  <si>
    <t>Pega el código en el botón ⚡ Macro de XlsView y pulsa Ejecutar. Estas ya vienen precargadas en la app.</t>
  </si>
  <si>
    <t>API disponible:  sheet · cell(fila,col) · range(f,c,nf,nc) · rows · cols · api · workbook · toast(msg)   —   índices 0-based.</t>
  </si>
  <si>
    <t>Macro</t>
  </si>
  <si>
    <t>Código (cópialo al botón ⚡ Macro)</t>
  </si>
  <si>
    <t>Numerar filas</t>
  </si>
  <si>
    <t xml:space="preserve">// Numera la primera columna desde la fila 6.
var desde = 5, cuantas = 10;
for (var i = 0; i &lt; cuantas; i++) cell(desde + i, 0).setValue(i + 1);
toast('Numeradas ' + cuantas + ' filas');</t>
  </si>
  <si>
    <t>Fila de totales</t>
  </si>
  <si>
    <t xml:space="preserve">// Suma columnas D..G del rango de datos y escribe la fila de totales.
var fIni = 5, fFin = 15, cIni = 3, cFin = 6, fTot = fFin + 1;
for (var c = cIni; c &lt;= cFin; c++) {
  var L = String.fromCharCode(65 + c);
  cell(fTot, c).setValue('=SUM(' + L + (fIni+1) + ':' + L + (fFin+1) + ')');
}
cell(fTot, cIni - 1).setValue('TOTAL');
toast('Totales agregados');</t>
  </si>
  <si>
    <t>Resaltar negativos</t>
  </si>
  <si>
    <t xml:space="preserve">// Pinta de rojo los números negativos del rango.
var f0=5, f1=30, c0=3, c1=7;
for (var r=f0; r&lt;=f1; r++) for (var c=c0; c&lt;=c1; c++) {
  var v = cell(r,c).getValue();
  if (typeof v==='number' &amp;&amp; v&lt;0) cell(r,c).setFontColor('#c0392b');
}
toast('Negativos resaltados');</t>
  </si>
  <si>
    <t>Rellenar serie</t>
  </si>
  <si>
    <t xml:space="preserve">// Rellena B6:B25 con una progresión (inicio 100, paso 25).
var inicio=100, paso=25;
for (var i=0; i&lt;20; i++) cell(5+i, 1).setValue(inicio + i*paso);
toast('Serie generada');</t>
  </si>
  <si>
    <t>Encabezado con estilo</t>
  </si>
  <si>
    <t xml:space="preserve">// Escribe y da formato a una fila de encabezado (fila 6, A..E).
var tit = ['Ítem','Descripción','Cantidad','Precio','Total'];
for (var c=0; c&lt;tit.length; c++) {
  var cel = cell(5, c);
  cel.setValue(tit[c]);
  cel.setFontWeight('bold').setFontColor('#ffffff').setBackground('#1F4E78');
}
toast('Encabezado creado');</t>
  </si>
  <si>
    <t>Suma rápida de la selección</t>
  </si>
  <si>
    <t xml:space="preserve">// Suma el rango seleccionado y muestra el total.
var sel = sheet.getActiveRange ? sheet.getActiveRange() : null;
if (!sel) { toast('Selecciona un rango'); }
else {
  var vals = sel.getValues(), t = 0;
  for (var i=0;i&lt;vals.length;i++) for (var j=0;j&lt;vals[i].length;j++)
    if (typeof vals[i][j]==='number') t += vals[i][j];
  toast('Suma = ' + t);
}</t>
  </si>
  <si>
    <t>⚠️ Limitaciones y cómo sortearlas</t>
  </si>
  <si>
    <t>El motor calcula arrays internamente, pero el preset actual no los DERRAMA (spill) en varias celdas.</t>
  </si>
  <si>
    <t>Función</t>
  </si>
  <si>
    <t>Resultado en XlsView</t>
  </si>
  <si>
    <t>Alternativa que sí funciona</t>
  </si>
  <si>
    <t>SEQUENCE(n)</t>
  </si>
  <si>
    <t>#REF! (ni envuelta)</t>
  </si>
  <si>
    <t>Generar la serie con una macro, o escribirla a mano</t>
  </si>
  <si>
    <t>FILTER(rango,cond)</t>
  </si>
  <si>
    <t>#SPILL!</t>
  </si>
  <si>
    <t>Usar SUMIF/COUNTIF, o SUMPRODUCT con la condición</t>
  </si>
  <si>
    <t>SORT(rango)</t>
  </si>
  <si>
    <t>Ordenar los datos manualmente en la hoja (menú de datos)</t>
  </si>
  <si>
    <t>UNIQUE(rango)</t>
  </si>
  <si>
    <t>Quitar duplicados a mano, o COUNTIF para marcar repetidos</t>
  </si>
  <si>
    <t>MAP(...) sola</t>
  </si>
  <si>
    <t>Envolver en SUM/MAX: SÍ funciona =SUM(MAP(...))</t>
  </si>
  <si>
    <t>CUBEMEMBER, CUBEVALUE…</t>
  </si>
  <si>
    <t>#NAME? (sin OLAP)</t>
  </si>
  <si>
    <t>Las 7 funciones de cubo necesitan un servidor OLAP; no aplican sin backend</t>
  </si>
  <si>
    <t>Funciones async (Promise)</t>
  </si>
  <si>
    <t>El motor no admite async; para red usar WEBSERVICE (caché síncrona del host)</t>
  </si>
  <si>
    <t>✔ MAP y REDUCE SÍ funcionan si su array se consume dentro de una función:</t>
  </si>
  <si>
    <t>SUM(MAP({2,4,6},LAMBDA(v,v*v))) = 4+16+36</t>
  </si>
  <si>
    <t>REDUCE(0,{1,2,3,4,5},LAMBDA(a,v,a+v))</t>
  </si>
  <si>
    <t>SUM({1,2,3,4,5}) — matriz literal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</si>
</sst>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color theme="1"/>
      <family val="2"/>
      <scheme val="minor"/>
      <sz val="11"/>
      <name val="Calibri"/>
    </font>
    <font>
      <b/>
      <color rgb="FF1F4E78"/>
      <sz val="16"/>
      <name val="Calibri"/>
    </font>
    <font>
      <i/>
      <color rgb="FF808080"/>
      <sz val="10"/>
      <name val="Calibri"/>
    </font>
    <font>
      <b/>
      <color rgb="FFFFFFFF"/>
      <sz val="11"/>
      <name val="Calibri"/>
    </font>
    <font>
      <b/>
      <color rgb="FF1F4E78"/>
    </font>
    <font>
      <b/>
    </font>
    <font>
      <i/>
      <color rgb="FF808080"/>
    </font>
    <font>
      <b/>
      <color rgb="FF1F4E78"/>
      <sz val="11"/>
      <name val="Calibri"/>
    </font>
    <font>
      <color rgb="FF203040"/>
      <sz val="10"/>
      <name val="Consolas"/>
    </font>
    <font>
      <b/>
      <sz val="11"/>
      <name val="Calibri"/>
    </font>
    <font>
      <b/>
      <i/>
      <color rgb="FF808080"/>
    </font>
    <font>
      <b/>
      <color rgb="FFFFFFFF"/>
    </font>
    <font>
      <color rgb="FF7030A0"/>
      <sz val="9.5"/>
      <name val="Consolas"/>
    </font>
    <font>
      <b/>
      <color rgb="FF7030A0"/>
    </font>
    <font>
      <sz val="9.5"/>
      <name val="Consolas"/>
    </font>
    <font>
      <b/>
      <sz val="10"/>
      <name val="Consolas"/>
    </font>
    <font>
      <b/>
      <color rgb="FFC00000"/>
    </font>
    <font>
      <color rgb="FF375623"/>
      <sz val="9.5"/>
      <name val="Consolas"/>
    </font>
    <font>
      <b/>
      <color rgb="FF375623"/>
    </font>
    <font>
      <sz val="10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3" fillId="2" borderId="1" xfId="0" applyFont="1" applyFill="1" applyBorder="1" applyAlignment="1">
      <alignment horizontal="left" vertical="center"/>
    </xf>
    <xf numFmtId="0" fontId="0" fillId="0" borderId="1" xfId="0" applyBorder="1"/>
    <xf numFmtId="0" fontId="4" fillId="0" borderId="1" xfId="0" applyFont="1" applyBorder="1"/>
    <xf numFmtId="0" fontId="0" fillId="3" borderId="1" xfId="0" applyFill="1" applyBorder="1"/>
    <xf numFmtId="0" fontId="4" fillId="3" borderId="1" xfId="0" applyFont="1" applyFill="1" applyBorder="1"/>
    <xf numFmtId="0" fontId="5" fillId="0" borderId="0" xfId="0" applyFont="1"/>
    <xf numFmtId="0" fontId="6" fillId="0" borderId="0" xfId="0" applyFont="1"/>
    <xf numFmtId="0" fontId="7" fillId="4" borderId="0" xfId="0" applyFont="1" applyFill="1" applyAlignment="1">
      <alignment vertical="center"/>
    </xf>
    <xf numFmtId="0" fontId="8" fillId="3" borderId="1" xfId="0" applyFont="1" applyFill="1" applyBorder="1"/>
    <xf numFmtId="0" fontId="9" fillId="5" borderId="1" xfId="0" applyFont="1" applyFill="1" applyBorder="1"/>
    <xf numFmtId="0" fontId="10" fillId="0" borderId="0" xfId="0" applyFont="1"/>
    <xf numFmtId="0" fontId="11" fillId="2" borderId="1" xfId="0" applyFont="1" applyFill="1" applyBorder="1"/>
    <xf numFmtId="0" fontId="12" fillId="0" borderId="0" xfId="0" applyFont="1"/>
    <xf numFmtId="0" fontId="13" fillId="0" borderId="1" xfId="0" applyFont="1" applyBorder="1" applyAlignment="1">
      <alignment vertical="top"/>
    </xf>
    <xf numFmtId="0" fontId="14" fillId="3" borderId="1" xfId="0" applyFont="1" applyFill="1" applyBorder="1" applyAlignment="1">
      <alignment vertical="top" wrapText="1"/>
    </xf>
    <xf numFmtId="0" fontId="15" fillId="0" borderId="1" xfId="0" applyFont="1" applyBorder="1"/>
    <xf numFmtId="0" fontId="16" fillId="0" borderId="1" xfId="0" applyFont="1" applyBorder="1"/>
    <xf numFmtId="0" fontId="17" fillId="0" borderId="1" xfId="0" applyFont="1" applyBorder="1"/>
    <xf numFmtId="0" fontId="15" fillId="3" borderId="1" xfId="0" applyFont="1" applyFill="1" applyBorder="1"/>
    <xf numFmtId="0" fontId="16" fillId="3" borderId="1" xfId="0" applyFont="1" applyFill="1" applyBorder="1"/>
    <xf numFmtId="0" fontId="17" fillId="3" borderId="1" xfId="0" applyFont="1" applyFill="1" applyBorder="1"/>
    <xf numFmtId="0" fontId="18" fillId="0" borderId="0" xfId="0" applyFont="1"/>
    <xf numFmtId="0" fontId="19" fillId="0" borderId="0" xfId="0" applyFont="1"/>
    <xf numFmtId="0" fontId="5" fillId="5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8"/>
  </sheetPr>
  <dimension ref="A1:C13"/>
  <sheetFormatPr defaultRowHeight="15" outlineLevelRow="0" outlineLevelCol="0" x14ac:dyDescent="55"/>
  <cols>
    <col min="1" max="1" width="4" customWidth="1"/>
    <col min="2" max="2" width="26" customWidth="1"/>
    <col min="3" max="3" width="70" customWidth="1"/>
  </cols>
  <sheetData>
    <row r="1" ht="26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4" spans="1:3" x14ac:dyDescent="0.25">
      <c r="A4" s="3"/>
      <c r="B4" s="3" t="s">
        <v>2</v>
      </c>
      <c r="C4" s="3" t="s">
        <v>3</v>
      </c>
    </row>
    <row r="5" ht="22" customHeight="1" spans="1:3" x14ac:dyDescent="0.25">
      <c r="A5" s="4"/>
      <c r="B5" s="5" t="s">
        <v>4</v>
      </c>
      <c r="C5" s="4" t="s">
        <v>5</v>
      </c>
    </row>
    <row r="6" ht="22" customHeight="1" spans="1:3" x14ac:dyDescent="0.25">
      <c r="A6" s="6"/>
      <c r="B6" s="7" t="s">
        <v>6</v>
      </c>
      <c r="C6" s="6" t="s">
        <v>7</v>
      </c>
    </row>
    <row r="7" ht="22" customHeight="1" spans="1:3" x14ac:dyDescent="0.25">
      <c r="A7" s="4"/>
      <c r="B7" s="5" t="s">
        <v>8</v>
      </c>
      <c r="C7" s="4" t="s">
        <v>9</v>
      </c>
    </row>
    <row r="8" ht="22" customHeight="1" spans="1:3" x14ac:dyDescent="0.25">
      <c r="A8" s="6"/>
      <c r="B8" s="7" t="s">
        <v>10</v>
      </c>
      <c r="C8" s="6" t="s">
        <v>11</v>
      </c>
    </row>
    <row r="9" ht="22" customHeight="1" spans="1:3" x14ac:dyDescent="0.25">
      <c r="A9" s="4"/>
      <c r="B9" s="5" t="s">
        <v>12</v>
      </c>
      <c r="C9" s="4" t="s">
        <v>13</v>
      </c>
    </row>
    <row r="10" ht="22" customHeight="1" spans="1:3" x14ac:dyDescent="0.25">
      <c r="A10" s="6"/>
      <c r="B10" s="7" t="s">
        <v>14</v>
      </c>
      <c r="C10" s="6" t="s">
        <v>15</v>
      </c>
    </row>
    <row r="11" ht="22" customHeight="1" spans="1:3" x14ac:dyDescent="0.25">
      <c r="A11" s="4"/>
      <c r="B11" s="5" t="s">
        <v>16</v>
      </c>
      <c r="C11" s="4" t="s">
        <v>17</v>
      </c>
    </row>
    <row r="13" spans="2:3" x14ac:dyDescent="0.25">
      <c r="B13" s="8" t="s">
        <v>18</v>
      </c>
      <c r="C13" s="9" t="s">
        <v>19</v>
      </c>
    </row>
  </sheetData>
  <mergeCells count="2">
    <mergeCell ref="A1:C1"/>
    <mergeCell ref="A2:C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G2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40" customWidth="1"/>
    <col min="3" max="3" width="42" customWidth="1"/>
    <col min="4" max="4" width="22" customWidth="1"/>
    <col min="7" max="7" width="8" customWidth="1"/>
  </cols>
  <sheetData>
    <row r="1" ht="26" customHeight="1" spans="1:4" x14ac:dyDescent="0.25">
      <c r="A1" s="1" t="s">
        <v>20</v>
      </c>
      <c r="B1" s="1"/>
      <c r="C1" s="1"/>
      <c r="D1" s="1"/>
    </row>
    <row r="2" spans="1:4" x14ac:dyDescent="0.25">
      <c r="A2" s="2" t="s">
        <v>21</v>
      </c>
      <c r="B2" s="2"/>
      <c r="C2" s="2"/>
      <c r="D2" s="2"/>
    </row>
    <row r="4" spans="1:4" x14ac:dyDescent="0.25">
      <c r="A4" s="3"/>
      <c r="B4" s="3" t="s">
        <v>22</v>
      </c>
      <c r="C4" s="3" t="s">
        <v>23</v>
      </c>
      <c r="D4" s="3" t="s">
        <v>24</v>
      </c>
    </row>
    <row r="5" ht="20" customHeight="1" spans="1:4" x14ac:dyDescent="0.25">
      <c r="A5" s="10" t="s">
        <v>25</v>
      </c>
      <c r="B5" s="10"/>
      <c r="C5" s="10"/>
      <c r="D5" s="10"/>
    </row>
    <row r="6" ht="20" customHeight="1" spans="1:4" x14ac:dyDescent="0.25">
      <c r="A6" s="4"/>
      <c r="B6" s="4" t="s">
        <v>26</v>
      </c>
      <c r="C6" s="11" t="s">
        <v>27</v>
      </c>
      <c r="D6" s="12">
        <f>2+3*4-1</f>
      </c>
    </row>
    <row r="7" ht="20" customHeight="1" spans="1:4" x14ac:dyDescent="0.25">
      <c r="A7" s="4"/>
      <c r="B7" s="4" t="s">
        <v>28</v>
      </c>
      <c r="C7" s="11" t="s">
        <v>29</v>
      </c>
      <c r="D7" s="12">
        <f>(2+3)*4</f>
      </c>
    </row>
    <row r="8" ht="20" customHeight="1" spans="1:4" x14ac:dyDescent="0.25">
      <c r="A8" s="4"/>
      <c r="B8" s="4" t="s">
        <v>30</v>
      </c>
      <c r="C8" s="11" t="s">
        <v>31</v>
      </c>
      <c r="D8" s="12">
        <f>10/4</f>
      </c>
    </row>
    <row r="9" ht="20" customHeight="1" spans="1:4" x14ac:dyDescent="0.25">
      <c r="A9" s="4"/>
      <c r="B9" s="4" t="s">
        <v>32</v>
      </c>
      <c r="C9" s="11" t="s">
        <v>33</v>
      </c>
      <c r="D9" s="12">
        <f>2^10</f>
      </c>
    </row>
    <row r="10" ht="20" customHeight="1" spans="1:4" x14ac:dyDescent="0.25">
      <c r="A10" s="4"/>
      <c r="B10" s="4" t="s">
        <v>34</v>
      </c>
      <c r="C10" s="11" t="s">
        <v>35</v>
      </c>
      <c r="D10" s="12">
        <f>1024*0.5</f>
      </c>
    </row>
    <row r="11" ht="20" customHeight="1" spans="1:4" x14ac:dyDescent="0.25">
      <c r="A11" s="4"/>
      <c r="B11" s="4" t="s">
        <v>36</v>
      </c>
      <c r="C11" s="11" t="s">
        <v>37</v>
      </c>
      <c r="D11" s="12">
        <f>-5+8</f>
      </c>
    </row>
    <row r="12" ht="20" customHeight="1" spans="1:4" x14ac:dyDescent="0.25">
      <c r="A12" s="10" t="s">
        <v>38</v>
      </c>
      <c r="B12" s="10"/>
      <c r="C12" s="10"/>
      <c r="D12" s="10"/>
    </row>
    <row r="13" ht="20" customHeight="1" spans="1:4" x14ac:dyDescent="0.25">
      <c r="A13" s="4"/>
      <c r="B13" s="4" t="s">
        <v>39</v>
      </c>
      <c r="C13" s="11" t="s">
        <v>40</v>
      </c>
      <c r="D13" s="12">
        <f>10&gt;3</f>
      </c>
    </row>
    <row r="14" ht="20" customHeight="1" spans="1:7" x14ac:dyDescent="0.25">
      <c r="A14" s="4"/>
      <c r="B14" s="4" t="s">
        <v>41</v>
      </c>
      <c r="C14" s="11" t="s">
        <v>42</v>
      </c>
      <c r="D14" s="12">
        <f>5&lt;&gt;5</f>
      </c>
      <c r="F14" s="9" t="s">
        <v>43</v>
      </c>
      <c r="G14">
        <v>42</v>
      </c>
    </row>
    <row r="15" ht="20" customHeight="1" spans="1:7" x14ac:dyDescent="0.25">
      <c r="A15" s="4"/>
      <c r="B15" s="4" t="s">
        <v>44</v>
      </c>
      <c r="C15" s="11" t="s">
        <v>45</v>
      </c>
      <c r="D15" s="12">
        <f>(5&gt;3)*100</f>
      </c>
      <c r="G15">
        <v>8</v>
      </c>
    </row>
    <row r="16" ht="20" customHeight="1" spans="1:7" x14ac:dyDescent="0.25">
      <c r="A16" s="10" t="s">
        <v>46</v>
      </c>
      <c r="B16" s="10"/>
      <c r="C16" s="10"/>
      <c r="D16" s="10"/>
      <c r="G16">
        <v>10</v>
      </c>
    </row>
    <row r="17" ht="20" customHeight="1" spans="1:4" x14ac:dyDescent="0.25">
      <c r="A17" s="4"/>
      <c r="B17" s="4" t="s">
        <v>47</v>
      </c>
      <c r="C17" s="11" t="s">
        <v>48</v>
      </c>
      <c r="D17" s="12">
        <f>"Hola "&amp;"mundo"</f>
      </c>
    </row>
    <row r="18" ht="20" customHeight="1" spans="1:4" x14ac:dyDescent="0.25">
      <c r="A18" s="4"/>
      <c r="B18" s="4" t="s">
        <v>49</v>
      </c>
      <c r="C18" s="11" t="s">
        <v>50</v>
      </c>
      <c r="D18" s="12">
        <f>"Total: "&amp;(2+3)</f>
      </c>
    </row>
    <row r="19" ht="20" customHeight="1" spans="1:4" x14ac:dyDescent="0.25">
      <c r="A19" s="10" t="s">
        <v>51</v>
      </c>
      <c r="B19" s="10"/>
      <c r="C19" s="10"/>
      <c r="D19" s="10"/>
    </row>
    <row r="20" ht="20" customHeight="1" spans="1:4" x14ac:dyDescent="0.25">
      <c r="A20" s="4"/>
      <c r="B20" s="4" t="s">
        <v>52</v>
      </c>
      <c r="C20" s="11" t="s">
        <v>53</v>
      </c>
      <c r="D20" s="12">
        <f>G14</f>
      </c>
    </row>
    <row r="21" ht="20" customHeight="1" spans="1:4" x14ac:dyDescent="0.25">
      <c r="A21" s="4"/>
      <c r="B21" s="4" t="s">
        <v>54</v>
      </c>
      <c r="C21" s="11" t="s">
        <v>55</v>
      </c>
      <c r="D21" s="12">
        <f>SUM(G14:G16)</f>
      </c>
    </row>
    <row r="22" ht="20" customHeight="1" spans="1:4" x14ac:dyDescent="0.25">
      <c r="A22" s="4"/>
      <c r="B22" s="4" t="s">
        <v>56</v>
      </c>
      <c r="C22" s="11" t="s">
        <v>57</v>
      </c>
      <c r="D22" s="12">
        <f>'Funciones propias'!D6</f>
      </c>
    </row>
    <row r="23" ht="20" customHeight="1" spans="1:4" x14ac:dyDescent="0.25">
      <c r="A23" s="4"/>
      <c r="B23" s="4" t="s">
        <v>58</v>
      </c>
      <c r="C23" s="11" t="s">
        <v>59</v>
      </c>
      <c r="D23" s="12">
        <f>SUM({1,2,3;4,5,6})</f>
      </c>
    </row>
  </sheetData>
  <mergeCells count="6">
    <mergeCell ref="A1:D1"/>
    <mergeCell ref="A2:D2"/>
    <mergeCell ref="A5:D5"/>
    <mergeCell ref="A12:D12"/>
    <mergeCell ref="A16:D16"/>
    <mergeCell ref="A19:D1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G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40" customWidth="1"/>
    <col min="3" max="3" width="42" customWidth="1"/>
    <col min="4" max="4" width="22" customWidth="1"/>
    <col min="7" max="7" width="8" customWidth="1"/>
  </cols>
  <sheetData>
    <row r="1" ht="26" customHeight="1" spans="1:4" x14ac:dyDescent="0.25">
      <c r="A1" s="1" t="s">
        <v>60</v>
      </c>
      <c r="B1" s="1"/>
      <c r="C1" s="1"/>
      <c r="D1" s="1"/>
    </row>
    <row r="2" spans="1:4" x14ac:dyDescent="0.25">
      <c r="A2" s="2" t="s">
        <v>61</v>
      </c>
      <c r="B2" s="2"/>
      <c r="C2" s="2"/>
      <c r="D2" s="2"/>
    </row>
    <row r="4" spans="1:4" x14ac:dyDescent="0.25">
      <c r="A4" s="3"/>
      <c r="B4" s="3" t="s">
        <v>22</v>
      </c>
      <c r="C4" s="3" t="s">
        <v>23</v>
      </c>
      <c r="D4" s="3" t="s">
        <v>24</v>
      </c>
    </row>
    <row r="5" ht="20" customHeight="1" spans="1:4" x14ac:dyDescent="0.25">
      <c r="A5" s="10" t="s">
        <v>62</v>
      </c>
      <c r="B5" s="10"/>
      <c r="C5" s="10"/>
      <c r="D5" s="10"/>
    </row>
    <row r="6" ht="20" customHeight="1" spans="1:4" x14ac:dyDescent="0.25">
      <c r="A6" s="4"/>
      <c r="B6" s="4" t="s">
        <v>63</v>
      </c>
      <c r="C6" s="11" t="s">
        <v>64</v>
      </c>
      <c r="D6" s="12">
        <f>IF(10&gt;5,"sí","no")</f>
      </c>
    </row>
    <row r="7" ht="20" customHeight="1" spans="1:4" x14ac:dyDescent="0.25">
      <c r="A7" s="4"/>
      <c r="B7" s="4" t="s">
        <v>65</v>
      </c>
      <c r="C7" s="11" t="s">
        <v>66</v>
      </c>
      <c r="D7" s="12">
        <f>IF(G14&gt;50,"alto",IF(G14&gt;10,"medio","bajo"))</f>
      </c>
    </row>
    <row r="8" ht="20" customHeight="1" spans="1:4" x14ac:dyDescent="0.25">
      <c r="A8" s="4"/>
      <c r="B8" s="4" t="s">
        <v>67</v>
      </c>
      <c r="C8" s="11" t="s">
        <v>68</v>
      </c>
      <c r="D8" s="12">
        <f>IFS(G14&gt;100,"A",G14&gt;40,"B",TRUE,"C")</f>
      </c>
    </row>
    <row r="9" ht="20" customHeight="1" spans="1:4" x14ac:dyDescent="0.25">
      <c r="A9" s="4"/>
      <c r="B9" s="4" t="s">
        <v>69</v>
      </c>
      <c r="C9" s="11" t="s">
        <v>70</v>
      </c>
      <c r="D9" s="12">
        <f>SWITCH(3,1,"uno",2,"dos",3,"tres","otro")</f>
      </c>
    </row>
    <row r="10" ht="20" customHeight="1" spans="1:4" x14ac:dyDescent="0.25">
      <c r="A10" s="4"/>
      <c r="B10" s="4" t="s">
        <v>71</v>
      </c>
      <c r="C10" s="11" t="s">
        <v>72</v>
      </c>
      <c r="D10" s="12">
        <f>IFERROR(10/0,"sin dividir")</f>
      </c>
    </row>
    <row r="11" ht="20" customHeight="1" spans="1:4" x14ac:dyDescent="0.25">
      <c r="A11" s="10" t="s">
        <v>73</v>
      </c>
      <c r="B11" s="10"/>
      <c r="C11" s="10"/>
      <c r="D11" s="10"/>
    </row>
    <row r="12" ht="20" customHeight="1" spans="1:4" x14ac:dyDescent="0.25">
      <c r="A12" s="4"/>
      <c r="B12" s="4" t="s">
        <v>74</v>
      </c>
      <c r="C12" s="11" t="s">
        <v>75</v>
      </c>
      <c r="D12" s="12">
        <f>ROUND(AVERAGE(G14:G16),1)</f>
      </c>
    </row>
    <row r="13" ht="20" customHeight="1" spans="1:4" x14ac:dyDescent="0.25">
      <c r="A13" s="4"/>
      <c r="B13" s="4" t="s">
        <v>76</v>
      </c>
      <c r="C13" s="11" t="s">
        <v>77</v>
      </c>
      <c r="D13" s="12">
        <f>IF(SUM(G14:G16)&gt;50,"supera","no")</f>
      </c>
    </row>
    <row r="14" ht="20" customHeight="1" spans="1:7" x14ac:dyDescent="0.25">
      <c r="A14" s="4"/>
      <c r="B14" s="4" t="s">
        <v>78</v>
      </c>
      <c r="C14" s="11" t="s">
        <v>79</v>
      </c>
      <c r="D14" s="12">
        <f>MAX(SUM(G14:G15),SUM(G15:G16))</f>
      </c>
      <c r="F14" s="9" t="s">
        <v>43</v>
      </c>
      <c r="G14">
        <v>42</v>
      </c>
    </row>
    <row r="15" ht="20" customHeight="1" spans="1:7" x14ac:dyDescent="0.25">
      <c r="A15" s="4"/>
      <c r="B15" s="4" t="s">
        <v>80</v>
      </c>
      <c r="C15" s="11" t="s">
        <v>81</v>
      </c>
      <c r="D15" s="12">
        <f>"Prom: "&amp;ROUND(AVERAGE(G14:G16),2)</f>
      </c>
      <c r="G15">
        <v>8</v>
      </c>
    </row>
    <row r="16" ht="20" customHeight="1" spans="1:7" x14ac:dyDescent="0.25">
      <c r="A16" s="10" t="s">
        <v>82</v>
      </c>
      <c r="B16" s="10"/>
      <c r="C16" s="10"/>
      <c r="D16" s="10"/>
      <c r="G16">
        <v>10</v>
      </c>
    </row>
    <row r="17" ht="20" customHeight="1" spans="1:4" x14ac:dyDescent="0.25">
      <c r="A17" s="4"/>
      <c r="B17" s="4" t="s">
        <v>83</v>
      </c>
      <c r="C17" s="11" t="s">
        <v>84</v>
      </c>
      <c r="D17" s="12">
        <f>LAMBDA(x,x*x)(7)</f>
      </c>
    </row>
    <row r="18" ht="20" customHeight="1" spans="1:4" x14ac:dyDescent="0.25">
      <c r="A18" s="4"/>
      <c r="B18" s="4" t="s">
        <v>85</v>
      </c>
      <c r="C18" s="11" t="s">
        <v>86</v>
      </c>
      <c r="D18" s="12">
        <f>LET(a,5,b,3,a*b+a)</f>
      </c>
    </row>
    <row r="19" ht="20" customHeight="1" spans="1:4" x14ac:dyDescent="0.25">
      <c r="A19" s="4"/>
      <c r="B19" s="4" t="s">
        <v>87</v>
      </c>
      <c r="C19" s="11" t="s">
        <v>88</v>
      </c>
      <c r="D19" s="12">
        <f>SUM(MAP(G14:G16,LAMBDA(v,v*2)))</f>
      </c>
    </row>
    <row r="20" ht="20" customHeight="1" spans="1:4" x14ac:dyDescent="0.25">
      <c r="A20" s="4"/>
      <c r="B20" s="4" t="s">
        <v>89</v>
      </c>
      <c r="C20" s="11" t="s">
        <v>90</v>
      </c>
      <c r="D20" s="12">
        <f>REDUCE(0,G14:G16,LAMBDA(acc,v,acc+v))</f>
      </c>
    </row>
  </sheetData>
  <mergeCells count="5">
    <mergeCell ref="A1:D1"/>
    <mergeCell ref="A2:D2"/>
    <mergeCell ref="A5:D5"/>
    <mergeCell ref="A11:D11"/>
    <mergeCell ref="A16:D1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8F00"/>
  </sheetPr>
  <dimension ref="A1:H3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40" customWidth="1"/>
    <col min="3" max="3" width="42" customWidth="1"/>
    <col min="4" max="4" width="22" customWidth="1"/>
    <col min="6" max="6" width="8" customWidth="1"/>
    <col min="7" max="7" width="14" customWidth="1"/>
    <col min="8" max="8" width="10" customWidth="1"/>
  </cols>
  <sheetData>
    <row r="1" ht="26" customHeight="1" spans="1:4" x14ac:dyDescent="0.25">
      <c r="A1" s="1" t="s">
        <v>91</v>
      </c>
      <c r="B1" s="1"/>
      <c r="C1" s="1"/>
      <c r="D1" s="1"/>
    </row>
    <row r="2" spans="1:4" x14ac:dyDescent="0.25">
      <c r="A2" s="2" t="s">
        <v>92</v>
      </c>
      <c r="B2" s="2"/>
      <c r="C2" s="2"/>
      <c r="D2" s="2"/>
    </row>
    <row r="4" spans="1:4" x14ac:dyDescent="0.25">
      <c r="A4" s="3"/>
      <c r="B4" s="3" t="s">
        <v>22</v>
      </c>
      <c r="C4" s="3" t="s">
        <v>23</v>
      </c>
      <c r="D4" s="3" t="s">
        <v>24</v>
      </c>
    </row>
    <row r="5" ht="20" customHeight="1" spans="1:4" x14ac:dyDescent="0.25">
      <c r="A5" s="10" t="s">
        <v>93</v>
      </c>
      <c r="B5" s="10"/>
      <c r="C5" s="10"/>
      <c r="D5" s="10"/>
    </row>
    <row r="6" ht="20" customHeight="1" spans="1:4" x14ac:dyDescent="0.25">
      <c r="A6" s="4"/>
      <c r="B6" s="4" t="s">
        <v>94</v>
      </c>
      <c r="C6" s="11" t="s">
        <v>95</v>
      </c>
      <c r="D6" s="12">
        <f>AND(5&gt;1,3&lt;9)</f>
      </c>
    </row>
    <row r="7" ht="20" customHeight="1" spans="1:4" x14ac:dyDescent="0.25">
      <c r="A7" s="4"/>
      <c r="B7" s="4" t="s">
        <v>96</v>
      </c>
      <c r="C7" s="11" t="s">
        <v>97</v>
      </c>
      <c r="D7" s="12">
        <f>XOR(TRUE,FALSE)</f>
      </c>
    </row>
    <row r="8" ht="20" customHeight="1" spans="1:4" x14ac:dyDescent="0.25">
      <c r="A8" s="10" t="s">
        <v>46</v>
      </c>
      <c r="B8" s="10"/>
      <c r="C8" s="10"/>
      <c r="D8" s="10"/>
    </row>
    <row r="9" ht="20" customHeight="1" spans="1:4" x14ac:dyDescent="0.25">
      <c r="A9" s="4"/>
      <c r="B9" s="4" t="s">
        <v>98</v>
      </c>
      <c r="C9" s="11" t="s">
        <v>99</v>
      </c>
      <c r="D9" s="12">
        <f>MID("Univer",2,3)</f>
      </c>
    </row>
    <row r="10" ht="20" customHeight="1" spans="1:4" x14ac:dyDescent="0.25">
      <c r="A10" s="4"/>
      <c r="B10" s="4" t="s">
        <v>100</v>
      </c>
      <c r="C10" s="11" t="s">
        <v>101</v>
      </c>
      <c r="D10" s="12">
        <f>LEN("hoja de cálculo")</f>
      </c>
    </row>
    <row r="11" ht="20" customHeight="1" spans="1:4" x14ac:dyDescent="0.25">
      <c r="A11" s="4"/>
      <c r="B11" s="4" t="s">
        <v>102</v>
      </c>
      <c r="C11" s="11" t="s">
        <v>103</v>
      </c>
      <c r="D11" s="12">
        <f>PROPER("juan pérez")</f>
      </c>
    </row>
    <row r="12" ht="20" customHeight="1" spans="1:5" x14ac:dyDescent="0.25">
      <c r="A12" s="4"/>
      <c r="B12" s="4" t="s">
        <v>104</v>
      </c>
      <c r="C12" s="11" t="s">
        <v>105</v>
      </c>
      <c r="D12" s="12">
        <f>SUBSTITUTE("a-b-c","-","/")</f>
      </c>
      <c r="E12" s="13" t="s">
        <v>106</v>
      </c>
    </row>
    <row r="13" ht="20" customHeight="1" spans="1:8" x14ac:dyDescent="0.25">
      <c r="A13" s="4"/>
      <c r="B13" s="4" t="s">
        <v>107</v>
      </c>
      <c r="C13" s="11" t="s">
        <v>108</v>
      </c>
      <c r="D13" s="12">
        <f>TEXT(1234.5,"#,##0.00")</f>
      </c>
      <c r="F13" s="14" t="s">
        <v>109</v>
      </c>
      <c r="G13" s="14" t="s">
        <v>110</v>
      </c>
      <c r="H13" s="14" t="s">
        <v>111</v>
      </c>
    </row>
    <row r="14" ht="20" customHeight="1" spans="1:8" x14ac:dyDescent="0.25">
      <c r="A14" s="4"/>
      <c r="B14" s="4" t="s">
        <v>112</v>
      </c>
      <c r="C14" s="11" t="s">
        <v>113</v>
      </c>
      <c r="D14" s="12">
        <f>TEXTJOIN("-",TRUE,"a","b","c")</f>
      </c>
      <c r="F14" s="6" t="s">
        <v>114</v>
      </c>
      <c r="G14" s="6" t="s">
        <v>115</v>
      </c>
      <c r="H14" s="6">
        <v>10</v>
      </c>
    </row>
    <row r="15" ht="20" customHeight="1" spans="1:8" x14ac:dyDescent="0.25">
      <c r="A15" s="4"/>
      <c r="B15" s="4" t="s">
        <v>116</v>
      </c>
      <c r="C15" s="11" t="s">
        <v>117</v>
      </c>
      <c r="D15" s="12">
        <f>REGEXEXTRACT("Orden 1234","[0-9]+")</f>
      </c>
      <c r="F15" s="4" t="s">
        <v>118</v>
      </c>
      <c r="G15" s="4" t="s">
        <v>119</v>
      </c>
      <c r="H15" s="4">
        <v>25</v>
      </c>
    </row>
    <row r="16" ht="20" customHeight="1" spans="1:8" x14ac:dyDescent="0.25">
      <c r="A16" s="10" t="s">
        <v>120</v>
      </c>
      <c r="B16" s="10"/>
      <c r="C16" s="10"/>
      <c r="D16" s="10"/>
      <c r="F16" s="6" t="s">
        <v>121</v>
      </c>
      <c r="G16" s="6" t="s">
        <v>122</v>
      </c>
      <c r="H16" s="6">
        <v>30</v>
      </c>
    </row>
    <row r="17" ht="20" customHeight="1" spans="1:8" x14ac:dyDescent="0.25">
      <c r="A17" s="4"/>
      <c r="B17" s="4" t="s">
        <v>123</v>
      </c>
      <c r="C17" s="11" t="s">
        <v>124</v>
      </c>
      <c r="D17" s="12">
        <f>TODAY()</f>
      </c>
      <c r="F17" s="4" t="s">
        <v>125</v>
      </c>
      <c r="G17" s="4" t="s">
        <v>126</v>
      </c>
      <c r="H17" s="4">
        <v>18</v>
      </c>
    </row>
    <row r="18" ht="20" customHeight="1" spans="1:4" x14ac:dyDescent="0.25">
      <c r="A18" s="4"/>
      <c r="B18" s="4" t="s">
        <v>127</v>
      </c>
      <c r="C18" s="11" t="s">
        <v>128</v>
      </c>
      <c r="D18" s="12">
        <f>DAYS(DATE(2026,12,31),DATE(2026,1,1))</f>
      </c>
    </row>
    <row r="19" ht="20" customHeight="1" spans="1:4" x14ac:dyDescent="0.25">
      <c r="A19" s="4"/>
      <c r="B19" s="4" t="s">
        <v>129</v>
      </c>
      <c r="C19" s="11" t="s">
        <v>130</v>
      </c>
      <c r="D19" s="12">
        <f>DATEDIF(DATE(2025,1,1),DATE(2026,3,1),"m")</f>
      </c>
    </row>
    <row r="20" ht="20" customHeight="1" spans="1:4" x14ac:dyDescent="0.25">
      <c r="A20" s="4"/>
      <c r="B20" s="4" t="s">
        <v>131</v>
      </c>
      <c r="C20" s="11" t="s">
        <v>132</v>
      </c>
      <c r="D20" s="12">
        <f>EOMONTH(DATE(2026,2,15),0)</f>
      </c>
    </row>
    <row r="21" ht="20" customHeight="1" spans="1:4" x14ac:dyDescent="0.25">
      <c r="A21" s="10" t="s">
        <v>133</v>
      </c>
      <c r="B21" s="10"/>
      <c r="C21" s="10"/>
      <c r="D21" s="10"/>
    </row>
    <row r="22" ht="20" customHeight="1" spans="1:4" x14ac:dyDescent="0.25">
      <c r="A22" s="4"/>
      <c r="B22" s="4" t="s">
        <v>134</v>
      </c>
      <c r="C22" s="11" t="s">
        <v>135</v>
      </c>
      <c r="D22" s="12">
        <f>VLOOKUP("B",F14:H18,3,FALSE)</f>
      </c>
    </row>
    <row r="23" ht="20" customHeight="1" spans="1:4" x14ac:dyDescent="0.25">
      <c r="A23" s="4"/>
      <c r="B23" s="4" t="s">
        <v>136</v>
      </c>
      <c r="C23" s="11" t="s">
        <v>137</v>
      </c>
      <c r="D23" s="12">
        <f>INDEX(H14:H18,MATCH("C",F14:F18,0))</f>
      </c>
    </row>
    <row r="24" ht="20" customHeight="1" spans="1:4" x14ac:dyDescent="0.25">
      <c r="A24" s="4"/>
      <c r="B24" s="4" t="s">
        <v>138</v>
      </c>
      <c r="C24" s="11" t="s">
        <v>139</v>
      </c>
      <c r="D24" s="12">
        <f>XLOOKUP("D",F14:F18,H14:H18)</f>
      </c>
    </row>
    <row r="25" ht="20" customHeight="1" spans="1:4" x14ac:dyDescent="0.25">
      <c r="A25" s="4"/>
      <c r="B25" s="4" t="s">
        <v>140</v>
      </c>
      <c r="C25" s="11" t="s">
        <v>141</v>
      </c>
      <c r="D25" s="12">
        <f>CHOOSE(2,"rojo","verde","azul")</f>
      </c>
    </row>
    <row r="26" ht="20" customHeight="1" spans="1:4" x14ac:dyDescent="0.25">
      <c r="A26" s="10" t="s">
        <v>142</v>
      </c>
      <c r="B26" s="10"/>
      <c r="C26" s="10"/>
      <c r="D26" s="10"/>
    </row>
    <row r="27" ht="20" customHeight="1" spans="1:4" x14ac:dyDescent="0.25">
      <c r="A27" s="4"/>
      <c r="B27" s="4" t="s">
        <v>143</v>
      </c>
      <c r="C27" s="11" t="s">
        <v>144</v>
      </c>
      <c r="D27" s="12">
        <f>SUMIF(H14:H18,"&gt;20")</f>
      </c>
    </row>
    <row r="28" ht="20" customHeight="1" spans="1:4" x14ac:dyDescent="0.25">
      <c r="A28" s="4"/>
      <c r="B28" s="4" t="s">
        <v>145</v>
      </c>
      <c r="C28" s="11" t="s">
        <v>146</v>
      </c>
      <c r="D28" s="12">
        <f>COUNTIF(F14:F18,"?")</f>
      </c>
    </row>
    <row r="29" ht="20" customHeight="1" spans="1:4" x14ac:dyDescent="0.25">
      <c r="A29" s="4"/>
      <c r="B29" s="4" t="s">
        <v>147</v>
      </c>
      <c r="C29" s="11" t="s">
        <v>148</v>
      </c>
      <c r="D29" s="12">
        <f>MEDIAN(H14:H18)</f>
      </c>
    </row>
    <row r="30" ht="20" customHeight="1" spans="1:4" x14ac:dyDescent="0.25">
      <c r="A30" s="4"/>
      <c r="B30" s="4" t="s">
        <v>149</v>
      </c>
      <c r="C30" s="11" t="s">
        <v>150</v>
      </c>
      <c r="D30" s="12">
        <f>SUMPRODUCT(H14:H18,H14:H18)</f>
      </c>
    </row>
    <row r="31" ht="20" customHeight="1" spans="1:4" x14ac:dyDescent="0.25">
      <c r="A31" s="4"/>
      <c r="B31" s="4" t="s">
        <v>151</v>
      </c>
      <c r="C31" s="11" t="s">
        <v>152</v>
      </c>
      <c r="D31" s="12">
        <f>MOD(17,5)</f>
      </c>
    </row>
  </sheetData>
  <mergeCells count="7">
    <mergeCell ref="A1:D1"/>
    <mergeCell ref="A2:D2"/>
    <mergeCell ref="A5:D5"/>
    <mergeCell ref="A8:D8"/>
    <mergeCell ref="A16:D16"/>
    <mergeCell ref="A21:D21"/>
    <mergeCell ref="A26:D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1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40" customWidth="1"/>
    <col min="3" max="3" width="42" customWidth="1"/>
    <col min="4" max="4" width="22" customWidth="1"/>
  </cols>
  <sheetData>
    <row r="1" ht="26" customHeight="1" spans="1:4" x14ac:dyDescent="0.25">
      <c r="A1" s="1" t="s">
        <v>153</v>
      </c>
      <c r="B1" s="1"/>
      <c r="C1" s="1"/>
      <c r="D1" s="1"/>
    </row>
    <row r="2" spans="1:4" x14ac:dyDescent="0.25">
      <c r="A2" s="2" t="s">
        <v>154</v>
      </c>
      <c r="B2" s="2"/>
      <c r="C2" s="2"/>
      <c r="D2" s="2"/>
    </row>
    <row r="4" spans="1:4" x14ac:dyDescent="0.25">
      <c r="A4" s="3"/>
      <c r="B4" s="3" t="s">
        <v>22</v>
      </c>
      <c r="C4" s="3" t="s">
        <v>23</v>
      </c>
      <c r="D4" s="3" t="s">
        <v>24</v>
      </c>
    </row>
    <row r="5" ht="20" customHeight="1" spans="1:4" x14ac:dyDescent="0.25">
      <c r="A5" s="10" t="s">
        <v>155</v>
      </c>
      <c r="B5" s="10"/>
      <c r="C5" s="10"/>
      <c r="D5" s="10"/>
    </row>
    <row r="6" ht="20" customHeight="1" spans="1:4" x14ac:dyDescent="0.25">
      <c r="A6" s="4"/>
      <c r="B6" s="4" t="s">
        <v>156</v>
      </c>
      <c r="C6" s="11" t="s">
        <v>157</v>
      </c>
      <c r="D6" s="12">
        <f>IVA(1000)</f>
      </c>
    </row>
    <row r="7" ht="20" customHeight="1" spans="1:4" x14ac:dyDescent="0.25">
      <c r="A7" s="4"/>
      <c r="B7" s="4" t="s">
        <v>158</v>
      </c>
      <c r="C7" s="11" t="s">
        <v>159</v>
      </c>
      <c r="D7" s="12">
        <f>IVA(1000,0.105)</f>
      </c>
    </row>
    <row r="8" ht="20" customHeight="1" spans="1:4" x14ac:dyDescent="0.25">
      <c r="A8" s="4"/>
      <c r="B8" s="4" t="s">
        <v>160</v>
      </c>
      <c r="C8" s="11" t="s">
        <v>161</v>
      </c>
      <c r="D8" s="12">
        <f>NETO(1210)</f>
      </c>
    </row>
    <row r="9" ht="20" customHeight="1" spans="1:4" x14ac:dyDescent="0.25">
      <c r="A9" s="4"/>
      <c r="B9" s="4" t="s">
        <v>162</v>
      </c>
      <c r="C9" s="11" t="s">
        <v>163</v>
      </c>
      <c r="D9" s="12">
        <f>MANOOBRA(10,65000,0.35)</f>
      </c>
    </row>
    <row r="10" ht="20" customHeight="1" spans="1:4" x14ac:dyDescent="0.25">
      <c r="A10" s="10" t="s">
        <v>164</v>
      </c>
      <c r="B10" s="10"/>
      <c r="C10" s="10"/>
      <c r="D10" s="10"/>
    </row>
    <row r="11" ht="20" customHeight="1" spans="1:4" x14ac:dyDescent="0.25">
      <c r="A11" s="4"/>
      <c r="B11" s="4" t="s">
        <v>165</v>
      </c>
      <c r="C11" s="11" t="s">
        <v>166</v>
      </c>
      <c r="D11" s="12">
        <f>POTENCIA3F(380,20,0.85)</f>
      </c>
    </row>
    <row r="12" ht="20" customHeight="1" spans="1:4" x14ac:dyDescent="0.25">
      <c r="A12" s="4"/>
      <c r="B12" s="4" t="s">
        <v>167</v>
      </c>
      <c r="C12" s="11" t="s">
        <v>168</v>
      </c>
      <c r="D12" s="12">
        <f>CAIDATENSION(50,20,4)</f>
      </c>
    </row>
    <row r="13" ht="20" customHeight="1" spans="1:4" x14ac:dyDescent="0.25">
      <c r="A13" s="10" t="s">
        <v>169</v>
      </c>
      <c r="B13" s="10"/>
      <c r="C13" s="10"/>
      <c r="D13" s="10"/>
    </row>
    <row r="14" ht="20" customHeight="1" spans="1:4" x14ac:dyDescent="0.25">
      <c r="A14" s="4"/>
      <c r="B14" s="4" t="s">
        <v>170</v>
      </c>
      <c r="C14" s="11" t="s">
        <v>171</v>
      </c>
      <c r="D14" s="12">
        <f>ROUND(IVA(1000),0)</f>
      </c>
    </row>
    <row r="15" ht="20" customHeight="1" spans="1:4" x14ac:dyDescent="0.25">
      <c r="A15" s="4"/>
      <c r="B15" s="4" t="s">
        <v>172</v>
      </c>
      <c r="C15" s="11" t="s">
        <v>173</v>
      </c>
      <c r="D15" s="12">
        <f>"$ "&amp;TEXT(IVA(2500),"#,##0.00")</f>
      </c>
    </row>
    <row r="16" ht="20" customHeight="1" spans="1:4" x14ac:dyDescent="0.25">
      <c r="A16" s="4"/>
      <c r="B16" s="4" t="s">
        <v>174</v>
      </c>
      <c r="C16" s="11" t="s">
        <v>175</v>
      </c>
      <c r="D16" s="12">
        <f>ROUND(POTENCIA3F(380,20,0.85)/1000,2)</f>
      </c>
    </row>
    <row r="17" ht="20" customHeight="1" spans="1:4" x14ac:dyDescent="0.25">
      <c r="A17" s="4"/>
      <c r="B17" s="4" t="s">
        <v>176</v>
      </c>
      <c r="C17" s="11" t="s">
        <v>177</v>
      </c>
      <c r="D17" s="12">
        <f>IF(CAIDATENSION(50,20,4)&lt;230*0.03,"OK","Revisar")</f>
      </c>
    </row>
  </sheetData>
  <mergeCells count="5">
    <mergeCell ref="A1:D1"/>
    <mergeCell ref="A2:D2"/>
    <mergeCell ref="A5:D5"/>
    <mergeCell ref="A10:D10"/>
    <mergeCell ref="A13:D1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E480E"/>
  </sheetPr>
  <dimension ref="A1:D5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40" customWidth="1"/>
    <col min="3" max="3" width="42" customWidth="1"/>
    <col min="4" max="4" width="22" customWidth="1"/>
  </cols>
  <sheetData>
    <row r="1" ht="26" customHeight="1" spans="1:4" x14ac:dyDescent="0.25">
      <c r="A1" s="1" t="s">
        <v>178</v>
      </c>
      <c r="B1" s="1"/>
      <c r="C1" s="1"/>
      <c r="D1" s="1"/>
    </row>
    <row r="2" spans="1:4" x14ac:dyDescent="0.25">
      <c r="A2" s="2" t="s">
        <v>179</v>
      </c>
      <c r="B2" s="2"/>
      <c r="C2" s="2"/>
      <c r="D2" s="2"/>
    </row>
    <row r="4" spans="1:4" x14ac:dyDescent="0.25">
      <c r="A4" s="3"/>
      <c r="B4" s="3" t="s">
        <v>22</v>
      </c>
      <c r="C4" s="3" t="s">
        <v>23</v>
      </c>
      <c r="D4" s="3" t="s">
        <v>24</v>
      </c>
    </row>
    <row r="5" ht="20" customHeight="1" spans="1:4" x14ac:dyDescent="0.25">
      <c r="A5" s="10" t="s">
        <v>155</v>
      </c>
      <c r="B5" s="10"/>
      <c r="C5" s="10"/>
      <c r="D5" s="10"/>
    </row>
    <row r="6" ht="20" customHeight="1" spans="1:4" x14ac:dyDescent="0.25">
      <c r="A6" s="4"/>
      <c r="B6" s="4" t="s">
        <v>180</v>
      </c>
      <c r="C6" s="11" t="s">
        <v>157</v>
      </c>
      <c r="D6" s="12">
        <f>IVA(1000)</f>
      </c>
    </row>
    <row r="7" ht="20" customHeight="1" spans="1:4" x14ac:dyDescent="0.25">
      <c r="A7" s="4"/>
      <c r="B7" s="4" t="s">
        <v>181</v>
      </c>
      <c r="C7" s="11" t="s">
        <v>161</v>
      </c>
      <c r="D7" s="12">
        <f>NETO(1210)</f>
      </c>
    </row>
    <row r="8" ht="20" customHeight="1" spans="1:4" x14ac:dyDescent="0.25">
      <c r="A8" s="4"/>
      <c r="B8" s="4" t="s">
        <v>182</v>
      </c>
      <c r="C8" s="11" t="s">
        <v>183</v>
      </c>
      <c r="D8" s="12">
        <f>IIBB(1000,0.03)</f>
      </c>
    </row>
    <row r="9" ht="20" customHeight="1" spans="1:4" x14ac:dyDescent="0.25">
      <c r="A9" s="4"/>
      <c r="B9" s="4" t="s">
        <v>184</v>
      </c>
      <c r="C9" s="11" t="s">
        <v>185</v>
      </c>
      <c r="D9" s="12">
        <f>PRECIOVENTA(600,0.4)</f>
      </c>
    </row>
    <row r="10" ht="20" customHeight="1" spans="1:4" x14ac:dyDescent="0.25">
      <c r="A10" s="4"/>
      <c r="B10" s="4" t="s">
        <v>186</v>
      </c>
      <c r="C10" s="11" t="s">
        <v>187</v>
      </c>
      <c r="D10" s="12">
        <f>MARGEN(600,1000)</f>
      </c>
    </row>
    <row r="11" ht="20" customHeight="1" spans="1:4" x14ac:dyDescent="0.25">
      <c r="A11" s="4"/>
      <c r="B11" s="4" t="s">
        <v>188</v>
      </c>
      <c r="C11" s="11" t="s">
        <v>189</v>
      </c>
      <c r="D11" s="12">
        <f>MARKUP(600,1000)</f>
      </c>
    </row>
    <row r="12" ht="20" customHeight="1" spans="1:4" x14ac:dyDescent="0.25">
      <c r="A12" s="4"/>
      <c r="B12" s="4" t="s">
        <v>190</v>
      </c>
      <c r="C12" s="11" t="s">
        <v>191</v>
      </c>
      <c r="D12" s="12">
        <f>DESCUENTO(1000,0.15)</f>
      </c>
    </row>
    <row r="13" ht="20" customHeight="1" spans="1:4" x14ac:dyDescent="0.25">
      <c r="A13" s="4"/>
      <c r="B13" s="4" t="s">
        <v>192</v>
      </c>
      <c r="C13" s="11" t="s">
        <v>193</v>
      </c>
      <c r="D13" s="12">
        <f>VARIACIONPCT(100,150)</f>
      </c>
    </row>
    <row r="14" ht="20" customHeight="1" spans="1:4" x14ac:dyDescent="0.25">
      <c r="A14" s="4"/>
      <c r="B14" s="4" t="s">
        <v>194</v>
      </c>
      <c r="C14" s="11" t="s">
        <v>195</v>
      </c>
      <c r="D14" s="12">
        <f>PORCENTAJEDE(30,120)</f>
      </c>
    </row>
    <row r="15" ht="20" customHeight="1" spans="1:4" x14ac:dyDescent="0.25">
      <c r="A15" s="10" t="s">
        <v>196</v>
      </c>
      <c r="B15" s="10"/>
      <c r="C15" s="10"/>
      <c r="D15" s="10"/>
    </row>
    <row r="16" ht="20" customHeight="1" spans="1:4" x14ac:dyDescent="0.25">
      <c r="A16" s="4"/>
      <c r="B16" s="4" t="s">
        <v>197</v>
      </c>
      <c r="C16" s="11" t="s">
        <v>198</v>
      </c>
      <c r="D16" s="12">
        <f>INTERESSIMPLE(1000,0.05,3)</f>
      </c>
    </row>
    <row r="17" ht="20" customHeight="1" spans="1:4" x14ac:dyDescent="0.25">
      <c r="A17" s="4"/>
      <c r="B17" s="4" t="s">
        <v>199</v>
      </c>
      <c r="C17" s="11" t="s">
        <v>200</v>
      </c>
      <c r="D17" s="12">
        <f>INTERESCOMP(1000,0.05,3)</f>
      </c>
    </row>
    <row r="18" ht="20" customHeight="1" spans="1:4" x14ac:dyDescent="0.25">
      <c r="A18" s="4"/>
      <c r="B18" s="4" t="s">
        <v>201</v>
      </c>
      <c r="C18" s="11" t="s">
        <v>202</v>
      </c>
      <c r="D18" s="12">
        <f>VALORFUTURO(1000,0.05,3)</f>
      </c>
    </row>
    <row r="19" ht="20" customHeight="1" spans="1:4" x14ac:dyDescent="0.25">
      <c r="A19" s="4"/>
      <c r="B19" s="4" t="s">
        <v>203</v>
      </c>
      <c r="C19" s="11" t="s">
        <v>204</v>
      </c>
      <c r="D19" s="12">
        <f>CUOTAFIJA(12000,0.03,12)</f>
      </c>
    </row>
    <row r="20" ht="20" customHeight="1" spans="1:4" x14ac:dyDescent="0.25">
      <c r="A20" s="4"/>
      <c r="B20" s="4" t="s">
        <v>205</v>
      </c>
      <c r="C20" s="11" t="s">
        <v>206</v>
      </c>
      <c r="D20" s="12">
        <f>TASAEFECTIVA(0.24,12)</f>
      </c>
    </row>
    <row r="21" ht="20" customHeight="1" spans="1:4" x14ac:dyDescent="0.25">
      <c r="A21" s="10" t="s">
        <v>207</v>
      </c>
      <c r="B21" s="10"/>
      <c r="C21" s="10"/>
      <c r="D21" s="10"/>
    </row>
    <row r="22" ht="20" customHeight="1" spans="1:4" x14ac:dyDescent="0.25">
      <c r="A22" s="4"/>
      <c r="B22" s="4" t="s">
        <v>208</v>
      </c>
      <c r="C22" s="11" t="s">
        <v>166</v>
      </c>
      <c r="D22" s="12">
        <f>POTENCIA3F(380,20,0.85)</f>
      </c>
    </row>
    <row r="23" ht="20" customHeight="1" spans="1:4" x14ac:dyDescent="0.25">
      <c r="A23" s="4"/>
      <c r="B23" s="4" t="s">
        <v>209</v>
      </c>
      <c r="C23" s="11" t="s">
        <v>210</v>
      </c>
      <c r="D23" s="12">
        <f>POTENCIA1F(220,10,0.9)</f>
      </c>
    </row>
    <row r="24" ht="20" customHeight="1" spans="1:4" x14ac:dyDescent="0.25">
      <c r="A24" s="4"/>
      <c r="B24" s="4" t="s">
        <v>211</v>
      </c>
      <c r="C24" s="11" t="s">
        <v>168</v>
      </c>
      <c r="D24" s="12">
        <f>CAIDATENSION(50,20,4)</f>
      </c>
    </row>
    <row r="25" ht="20" customHeight="1" spans="1:4" x14ac:dyDescent="0.25">
      <c r="A25" s="4"/>
      <c r="B25" s="4" t="s">
        <v>212</v>
      </c>
      <c r="C25" s="11" t="s">
        <v>213</v>
      </c>
      <c r="D25" s="12">
        <f>CAIDA3F(50,20,4,0.85)</f>
      </c>
    </row>
    <row r="26" ht="20" customHeight="1" spans="1:4" x14ac:dyDescent="0.25">
      <c r="A26" s="4"/>
      <c r="B26" s="4" t="s">
        <v>214</v>
      </c>
      <c r="C26" s="11" t="s">
        <v>215</v>
      </c>
      <c r="D26" s="12">
        <f>OHM(220,10)</f>
      </c>
    </row>
    <row r="27" ht="20" customHeight="1" spans="1:4" x14ac:dyDescent="0.25">
      <c r="A27" s="4"/>
      <c r="B27" s="4" t="s">
        <v>216</v>
      </c>
      <c r="C27" s="11" t="s">
        <v>217</v>
      </c>
      <c r="D27" s="12">
        <f>CONSUMOKWH(2000,5,80)</f>
      </c>
    </row>
    <row r="28" ht="20" customHeight="1" spans="1:4" x14ac:dyDescent="0.25">
      <c r="A28" s="4"/>
      <c r="B28" s="4" t="s">
        <v>218</v>
      </c>
      <c r="C28" s="11" t="s">
        <v>219</v>
      </c>
      <c r="D28" s="12">
        <f>FACTORPOT(10,220,2500)</f>
      </c>
    </row>
    <row r="29" ht="20" customHeight="1" spans="1:4" x14ac:dyDescent="0.25">
      <c r="A29" s="10" t="s">
        <v>220</v>
      </c>
      <c r="B29" s="10"/>
      <c r="C29" s="10"/>
      <c r="D29" s="10"/>
    </row>
    <row r="30" ht="20" customHeight="1" spans="1:4" x14ac:dyDescent="0.25">
      <c r="A30" s="4"/>
      <c r="B30" s="4" t="s">
        <v>221</v>
      </c>
      <c r="C30" s="11" t="s">
        <v>222</v>
      </c>
      <c r="D30" s="12">
        <f>HIPOTENUSA(3,4)</f>
      </c>
    </row>
    <row r="31" ht="20" customHeight="1" spans="1:4" x14ac:dyDescent="0.25">
      <c r="A31" s="4"/>
      <c r="B31" s="4" t="s">
        <v>223</v>
      </c>
      <c r="C31" s="11" t="s">
        <v>224</v>
      </c>
      <c r="D31" s="12">
        <f>AREACIRCULO(2)</f>
      </c>
    </row>
    <row r="32" ht="20" customHeight="1" spans="1:4" x14ac:dyDescent="0.25">
      <c r="A32" s="4"/>
      <c r="B32" s="4" t="s">
        <v>225</v>
      </c>
      <c r="C32" s="11" t="s">
        <v>226</v>
      </c>
      <c r="D32" s="12">
        <f>AREATRIANGULO(10,6)</f>
      </c>
    </row>
    <row r="33" ht="20" customHeight="1" spans="1:4" x14ac:dyDescent="0.25">
      <c r="A33" s="4"/>
      <c r="B33" s="4" t="s">
        <v>227</v>
      </c>
      <c r="C33" s="11" t="s">
        <v>228</v>
      </c>
      <c r="D33" s="12">
        <f>REDONDEARM(47,5)</f>
      </c>
    </row>
    <row r="34" ht="20" customHeight="1" spans="1:4" x14ac:dyDescent="0.25">
      <c r="A34" s="4"/>
      <c r="B34" s="4" t="s">
        <v>229</v>
      </c>
      <c r="C34" s="11" t="s">
        <v>230</v>
      </c>
      <c r="D34" s="12">
        <f>IMC(80,1.75)</f>
      </c>
    </row>
    <row r="35" ht="20" customHeight="1" spans="1:4" x14ac:dyDescent="0.25">
      <c r="A35" s="4"/>
      <c r="B35" s="4" t="s">
        <v>231</v>
      </c>
      <c r="C35" s="11" t="s">
        <v>232</v>
      </c>
      <c r="D35" s="12">
        <f>REGLA3(3,6,10)</f>
      </c>
    </row>
    <row r="36" ht="20" customHeight="1" spans="1:4" x14ac:dyDescent="0.25">
      <c r="A36" s="10" t="s">
        <v>233</v>
      </c>
      <c r="B36" s="10"/>
      <c r="C36" s="10"/>
      <c r="D36" s="10"/>
    </row>
    <row r="37" ht="20" customHeight="1" spans="1:4" x14ac:dyDescent="0.25">
      <c r="A37" s="4"/>
      <c r="B37" s="4" t="s">
        <v>234</v>
      </c>
      <c r="C37" s="11" t="s">
        <v>235</v>
      </c>
      <c r="D37" s="12">
        <f>CELSIUS_F(100)</f>
      </c>
    </row>
    <row r="38" ht="20" customHeight="1" spans="1:4" x14ac:dyDescent="0.25">
      <c r="A38" s="4"/>
      <c r="B38" s="4" t="s">
        <v>236</v>
      </c>
      <c r="C38" s="11" t="s">
        <v>237</v>
      </c>
      <c r="D38" s="12">
        <f>FAHRENHEIT_C(212)</f>
      </c>
    </row>
    <row r="39" ht="20" customHeight="1" spans="1:4" x14ac:dyDescent="0.25">
      <c r="A39" s="4"/>
      <c r="B39" s="4" t="s">
        <v>238</v>
      </c>
      <c r="C39" s="11" t="s">
        <v>239</v>
      </c>
      <c r="D39" s="12">
        <f>CV_W(1)</f>
      </c>
    </row>
    <row r="40" ht="20" customHeight="1" spans="1:4" x14ac:dyDescent="0.25">
      <c r="A40" s="4"/>
      <c r="B40" s="4" t="s">
        <v>240</v>
      </c>
      <c r="C40" s="11" t="s">
        <v>241</v>
      </c>
      <c r="D40" s="12">
        <f>CONSUMOKML(500,40)</f>
      </c>
    </row>
    <row r="41" ht="20" customHeight="1" spans="1:4" x14ac:dyDescent="0.25">
      <c r="A41" s="10" t="s">
        <v>242</v>
      </c>
      <c r="B41" s="10"/>
      <c r="C41" s="10"/>
      <c r="D41" s="10"/>
    </row>
    <row r="42" ht="20" customHeight="1" spans="1:4" x14ac:dyDescent="0.25">
      <c r="A42" s="4"/>
      <c r="B42" s="4" t="s">
        <v>243</v>
      </c>
      <c r="C42" s="11" t="s">
        <v>244</v>
      </c>
      <c r="D42" s="12">
        <f>INICIALES("Juan Carlos Pérez")</f>
      </c>
    </row>
    <row r="43" ht="20" customHeight="1" spans="1:4" x14ac:dyDescent="0.25">
      <c r="A43" s="4"/>
      <c r="B43" s="4" t="s">
        <v>245</v>
      </c>
      <c r="C43" s="11" t="s">
        <v>246</v>
      </c>
      <c r="D43" s="12">
        <f>SOLONUMEROS("AB-12-3x4")</f>
      </c>
    </row>
    <row r="44" ht="20" customHeight="1" spans="1:4" x14ac:dyDescent="0.25">
      <c r="A44" s="4"/>
      <c r="B44" s="4" t="s">
        <v>247</v>
      </c>
      <c r="C44" s="11" t="s">
        <v>248</v>
      </c>
      <c r="D44" s="12">
        <f>TITULAR("hola mundo cruel")</f>
      </c>
    </row>
    <row r="45" ht="20" customHeight="1" spans="1:4" x14ac:dyDescent="0.25">
      <c r="A45" s="4"/>
      <c r="B45" s="4" t="s">
        <v>249</v>
      </c>
      <c r="C45" s="11" t="s">
        <v>250</v>
      </c>
      <c r="D45" s="12">
        <f>CONTARPALABRAS("uno dos tres")</f>
      </c>
    </row>
    <row r="46" ht="20" customHeight="1" spans="1:4" x14ac:dyDescent="0.25">
      <c r="A46" s="10" t="s">
        <v>251</v>
      </c>
      <c r="B46" s="10"/>
      <c r="C46" s="10"/>
      <c r="D46" s="10"/>
    </row>
    <row r="47" ht="20" customHeight="1" spans="1:4" x14ac:dyDescent="0.25">
      <c r="A47" s="4"/>
      <c r="B47" s="4" t="s">
        <v>252</v>
      </c>
      <c r="C47" s="11" t="s">
        <v>253</v>
      </c>
      <c r="D47" s="12">
        <f>EDAD(DATE(1990,6,15))</f>
      </c>
    </row>
    <row r="48" ht="20" customHeight="1" spans="1:4" x14ac:dyDescent="0.25">
      <c r="A48" s="4"/>
      <c r="B48" s="4" t="s">
        <v>254</v>
      </c>
      <c r="C48" s="11" t="s">
        <v>255</v>
      </c>
      <c r="D48" s="12">
        <f>TRIMESTRE(DATE(2026,8,1))</f>
      </c>
    </row>
    <row r="49" ht="20" customHeight="1" spans="1:4" x14ac:dyDescent="0.25">
      <c r="A49" s="10" t="s">
        <v>256</v>
      </c>
      <c r="B49" s="10"/>
      <c r="C49" s="10"/>
      <c r="D49" s="10"/>
    </row>
    <row r="50" ht="20" customHeight="1" spans="1:4" x14ac:dyDescent="0.25">
      <c r="A50" s="4"/>
      <c r="B50" s="4" t="s">
        <v>257</v>
      </c>
      <c r="C50" s="11" t="s">
        <v>258</v>
      </c>
      <c r="D50" s="12">
        <f>ENCODEURL("a b&amp;c")</f>
      </c>
    </row>
    <row r="51" ht="20" customHeight="1" spans="1:4" x14ac:dyDescent="0.25">
      <c r="A51" s="4"/>
      <c r="B51" s="4" t="s">
        <v>259</v>
      </c>
      <c r="C51" s="11" t="s">
        <v>260</v>
      </c>
      <c r="D51" s="12">
        <f>FILTERXML("&lt;r&gt;&lt;i&gt;7&lt;/i&gt;&lt;/r&gt;","//i")</f>
      </c>
    </row>
    <row r="52" ht="20" customHeight="1" spans="1:4" x14ac:dyDescent="0.25">
      <c r="A52" s="4"/>
      <c r="B52" s="4" t="s">
        <v>261</v>
      </c>
      <c r="C52" s="11" t="s">
        <v>262</v>
      </c>
      <c r="D52" s="4"/>
    </row>
  </sheetData>
  <mergeCells count="10">
    <mergeCell ref="A1:D1"/>
    <mergeCell ref="A2:D2"/>
    <mergeCell ref="A5:D5"/>
    <mergeCell ref="A15:D15"/>
    <mergeCell ref="A21:D21"/>
    <mergeCell ref="A29:D29"/>
    <mergeCell ref="A36:D36"/>
    <mergeCell ref="A41:D41"/>
    <mergeCell ref="A46:D46"/>
    <mergeCell ref="A49:D4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C11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30" customWidth="1"/>
    <col min="3" max="3" width="90" customWidth="1"/>
  </cols>
  <sheetData>
    <row r="1" ht="26" customHeight="1" spans="1:3" x14ac:dyDescent="0.25">
      <c r="A1" s="1" t="s">
        <v>263</v>
      </c>
      <c r="B1" s="1"/>
      <c r="C1" s="1"/>
    </row>
    <row r="2" spans="1:3" x14ac:dyDescent="0.25">
      <c r="A2" s="2" t="s">
        <v>264</v>
      </c>
      <c r="B2" s="2"/>
      <c r="C2" s="2"/>
    </row>
    <row r="3" spans="1:3" x14ac:dyDescent="0.25">
      <c r="A3" s="15" t="s">
        <v>265</v>
      </c>
      <c r="B3" s="15"/>
      <c r="C3" s="15"/>
    </row>
    <row r="5" spans="1:3" x14ac:dyDescent="0.25">
      <c r="A5" s="3"/>
      <c r="B5" s="3" t="s">
        <v>266</v>
      </c>
      <c r="C5" s="3" t="s">
        <v>267</v>
      </c>
    </row>
    <row r="6" ht="56" customHeight="1" spans="1:3" x14ac:dyDescent="0.25">
      <c r="A6" s="4"/>
      <c r="B6" s="16" t="s">
        <v>268</v>
      </c>
      <c r="C6" s="17" t="s">
        <v>269</v>
      </c>
    </row>
    <row r="7" ht="112" customHeight="1" spans="1:3" x14ac:dyDescent="0.25">
      <c r="A7" s="4"/>
      <c r="B7" s="16" t="s">
        <v>270</v>
      </c>
      <c r="C7" s="17" t="s">
        <v>271</v>
      </c>
    </row>
    <row r="8" ht="98" customHeight="1" spans="1:3" x14ac:dyDescent="0.25">
      <c r="A8" s="4"/>
      <c r="B8" s="16" t="s">
        <v>272</v>
      </c>
      <c r="C8" s="17" t="s">
        <v>273</v>
      </c>
    </row>
    <row r="9" ht="56" customHeight="1" spans="1:3" x14ac:dyDescent="0.25">
      <c r="A9" s="4"/>
      <c r="B9" s="16" t="s">
        <v>274</v>
      </c>
      <c r="C9" s="17" t="s">
        <v>275</v>
      </c>
    </row>
    <row r="10" ht="112" customHeight="1" spans="1:3" x14ac:dyDescent="0.25">
      <c r="A10" s="4"/>
      <c r="B10" s="16" t="s">
        <v>276</v>
      </c>
      <c r="C10" s="17" t="s">
        <v>277</v>
      </c>
    </row>
    <row r="11" ht="126" customHeight="1" spans="1:3" x14ac:dyDescent="0.25">
      <c r="A11" s="4"/>
      <c r="B11" s="16" t="s">
        <v>278</v>
      </c>
      <c r="C11" s="17" t="s">
        <v>279</v>
      </c>
    </row>
  </sheetData>
  <mergeCells count="3">
    <mergeCell ref="A1:C1"/>
    <mergeCell ref="A2:C2"/>
    <mergeCell ref="A3:C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D1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3" width="34" customWidth="1"/>
    <col min="4" max="4" width="44" customWidth="1"/>
  </cols>
  <sheetData>
    <row r="1" ht="26" customHeight="1" spans="1:4" x14ac:dyDescent="0.25">
      <c r="A1" s="1" t="s">
        <v>280</v>
      </c>
      <c r="B1" s="1"/>
      <c r="C1" s="1"/>
      <c r="D1" s="1"/>
    </row>
    <row r="2" spans="1:4" x14ac:dyDescent="0.25">
      <c r="A2" s="2" t="s">
        <v>281</v>
      </c>
      <c r="B2" s="2"/>
      <c r="C2" s="2"/>
      <c r="D2" s="2"/>
    </row>
    <row r="4" spans="1:4" x14ac:dyDescent="0.25">
      <c r="A4" s="3"/>
      <c r="B4" s="3" t="s">
        <v>282</v>
      </c>
      <c r="C4" s="3" t="s">
        <v>283</v>
      </c>
      <c r="D4" s="3" t="s">
        <v>284</v>
      </c>
    </row>
    <row r="5" ht="22" customHeight="1" spans="1:4" x14ac:dyDescent="0.25">
      <c r="A5" s="4"/>
      <c r="B5" s="18" t="s">
        <v>285</v>
      </c>
      <c r="C5" s="19" t="s">
        <v>286</v>
      </c>
      <c r="D5" s="20" t="s">
        <v>287</v>
      </c>
    </row>
    <row r="6" ht="22" customHeight="1" spans="1:4" x14ac:dyDescent="0.25">
      <c r="A6" s="6"/>
      <c r="B6" s="21" t="s">
        <v>288</v>
      </c>
      <c r="C6" s="22" t="s">
        <v>289</v>
      </c>
      <c r="D6" s="23" t="s">
        <v>290</v>
      </c>
    </row>
    <row r="7" ht="22" customHeight="1" spans="1:4" x14ac:dyDescent="0.25">
      <c r="A7" s="4"/>
      <c r="B7" s="18" t="s">
        <v>291</v>
      </c>
      <c r="C7" s="19" t="s">
        <v>289</v>
      </c>
      <c r="D7" s="20" t="s">
        <v>292</v>
      </c>
    </row>
    <row r="8" ht="22" customHeight="1" spans="1:4" x14ac:dyDescent="0.25">
      <c r="A8" s="6"/>
      <c r="B8" s="21" t="s">
        <v>293</v>
      </c>
      <c r="C8" s="22" t="s">
        <v>289</v>
      </c>
      <c r="D8" s="23" t="s">
        <v>294</v>
      </c>
    </row>
    <row r="9" ht="22" customHeight="1" spans="1:4" x14ac:dyDescent="0.25">
      <c r="A9" s="4"/>
      <c r="B9" s="18" t="s">
        <v>295</v>
      </c>
      <c r="C9" s="19" t="s">
        <v>289</v>
      </c>
      <c r="D9" s="20" t="s">
        <v>296</v>
      </c>
    </row>
    <row r="10" ht="22" customHeight="1" spans="1:4" x14ac:dyDescent="0.25">
      <c r="A10" s="6"/>
      <c r="B10" s="21" t="s">
        <v>297</v>
      </c>
      <c r="C10" s="22" t="s">
        <v>298</v>
      </c>
      <c r="D10" s="23" t="s">
        <v>299</v>
      </c>
    </row>
    <row r="11" ht="22" customHeight="1" spans="1:4" x14ac:dyDescent="0.25">
      <c r="A11" s="4"/>
      <c r="B11" s="18" t="s">
        <v>300</v>
      </c>
      <c r="C11" s="19" t="s">
        <v>289</v>
      </c>
      <c r="D11" s="20" t="s">
        <v>301</v>
      </c>
    </row>
    <row r="13" spans="2:4" x14ac:dyDescent="0.25">
      <c r="B13" s="24" t="s">
        <v>302</v>
      </c>
      <c r="C13" s="24"/>
      <c r="D13" s="24"/>
    </row>
    <row r="14" spans="2:3" x14ac:dyDescent="0.25">
      <c r="B14" s="25" t="s">
        <v>303</v>
      </c>
      <c r="C14" s="26">
        <f>SUM(MAP({2,4,6},LAMBDA(v,v*v)))</f>
      </c>
    </row>
    <row r="15" spans="2:3" x14ac:dyDescent="0.25">
      <c r="B15" s="25" t="s">
        <v>304</v>
      </c>
      <c r="C15" s="26">
        <f>REDUCE(0,{1,2,3,4,5},LAMBDA(a,v,a+v))</f>
      </c>
    </row>
    <row r="16" spans="2:3" x14ac:dyDescent="0.25">
      <c r="B16" s="25" t="s">
        <v>305</v>
      </c>
      <c r="C16" s="26">
        <f>SUM({1,2,3,4,5})</f>
      </c>
    </row>
  </sheetData>
  <mergeCells count="3">
    <mergeCell ref="A1:D1"/>
    <mergeCell ref="A2:D2"/>
    <mergeCell ref="B13:D1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Índice</vt:lpstr>
      <vt:lpstr>Fórmulas</vt:lpstr>
      <vt:lpstr>Anidamientos</vt:lpstr>
      <vt:lpstr>Funciones</vt:lpstr>
      <vt:lpstr>Funciones propias</vt:lpstr>
      <vt:lpstr>Banco de funciones</vt:lpstr>
      <vt:lpstr>Macros</vt:lpstr>
      <vt:lpstr>Limitaciones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XlsView</dc:creator>
  <dc:title/>
  <dc:subject/>
  <dc:description/>
  <cp:keywords/>
  <cp:category/>
  <cp:lastModifiedBy>Unknown</cp:lastModifiedBy>
  <dcterms:created xsi:type="dcterms:W3CDTF">2026-07-10T22:49:59Z</dcterms:created>
  <dcterms:modified xsi:type="dcterms:W3CDTF">2026-07-10T22:49:59Z</dcterms:modified>
</cp:coreProperties>
</file>