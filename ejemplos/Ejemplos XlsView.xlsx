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Índice" sheetId="1" r:id="rId1"/>
    <sheet name="Fórmulas" sheetId="2" r:id="rId2"/>
    <sheet name="Anidamientos" sheetId="3" r:id="rId3"/>
    <sheet name="Funciones" sheetId="4" r:id="rId4"/>
    <sheet name="Funciones propias" sheetId="5" r:id="rId5"/>
    <sheet name="Banco de funciones" sheetId="6" r:id="rId6"/>
    <sheet name="Macros" sheetId="7" r:id="rId7"/>
    <sheet name="Limitacion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">
    <numFmt numFmtId="164" formatCode="yyyy/mm/dd;@"/>
  </numFmts>
  <fonts count="18">
    <font>
      <sz val="11"/>
      <color theme="1"/>
      <name val="Calibri"/>
    </font>
    <font>
      <b/>
      <sz val="16"/>
      <color rgb="FF1F4E78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808080"/>
      <name val="Calibri"/>
    </font>
    <font>
      <sz val="10"/>
      <color rgb="FF203040"/>
      <name val="Consolas"/>
    </font>
    <font>
      <b/>
      <i/>
      <sz val="11"/>
      <color rgb="FF808080"/>
      <name val="Calibri"/>
    </font>
    <font>
      <sz val="9.5"/>
      <color rgb="FF7030A0"/>
      <name val="Consolas"/>
    </font>
    <font>
      <b/>
      <sz val="11"/>
      <color rgb="FF7030A0"/>
      <name val="Calibri"/>
    </font>
    <font>
      <sz val="9.5"/>
      <color rgb="FF000000"/>
      <name val="Consolas"/>
    </font>
    <font>
      <b/>
      <sz val="10"/>
      <color rgb="FF000000"/>
      <name val="Consolas"/>
    </font>
    <font>
      <b/>
      <sz val="11"/>
      <color rgb="FFC00000"/>
      <name val="Calibri"/>
    </font>
    <font>
      <sz val="9.5"/>
      <color rgb="FF375623"/>
      <name val="Consolas"/>
    </font>
    <font>
      <b/>
      <sz val="11"/>
      <color rgb="FF375623"/>
      <name val="Calibri"/>
    </font>
    <font>
      <sz val="10"/>
      <color rgb="FF00000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/>
    <xf numFmtId="0" fontId="4" fillId="3" borderId="1" xfId="0" applyFont="1" applyFill="1" applyBorder="1"/>
    <xf numFmtId="0" fontId="5" fillId="3" borderId="1" xfId="0" applyFont="1" applyFill="1" applyBorder="1"/>
    <xf numFmtId="0" fontId="6" fillId="0" borderId="0" xfId="0" applyFont="1"/>
    <xf numFmtId="0" fontId="7" fillId="0" borderId="0" xfId="0" applyFont="1"/>
    <xf numFmtId="0" fontId="3" fillId="2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vertical="center"/>
    </xf>
    <xf numFmtId="0" fontId="5" fillId="0" borderId="2" xfId="0" applyFont="1" applyBorder="1"/>
    <xf numFmtId="0" fontId="8" fillId="3" borderId="2" xfId="0" applyFont="1" applyFill="1" applyBorder="1"/>
    <xf numFmtId="0" fontId="6" fillId="5" borderId="2" xfId="0" applyFont="1" applyFill="1" applyBorder="1"/>
    <xf numFmtId="0" fontId="9" fillId="0" borderId="0" xfId="0" applyFont="1"/>
    <xf numFmtId="0" fontId="3" fillId="2" borderId="2" xfId="0" applyFont="1" applyFill="1" applyBorder="1"/>
    <xf numFmtId="0" fontId="5" fillId="3" borderId="2" xfId="0" applyFont="1" applyFill="1" applyBorder="1"/>
    <xf numFmtId="164" fontId="6" fillId="5" borderId="2" xfId="0" applyNumberFormat="1" applyFont="1" applyFill="1" applyBorder="1"/>
    <xf numFmtId="0" fontId="10" fillId="0" borderId="0" xfId="0" applyFont="1"/>
    <xf numFmtId="0" fontId="11" fillId="0" borderId="2" xfId="0" applyFont="1" applyBorder="1" applyAlignment="1">
      <alignment vertical="top"/>
    </xf>
    <xf numFmtId="0" fontId="12" fillId="3" borderId="2" xfId="0" applyFont="1" applyFill="1" applyBorder="1" applyAlignment="1">
      <alignment vertical="top" wrapText="1"/>
    </xf>
    <xf numFmtId="0" fontId="13" fillId="0" borderId="2" xfId="0" applyFont="1" applyBorder="1"/>
    <xf numFmtId="0" fontId="14" fillId="0" borderId="2" xfId="0" applyFont="1" applyBorder="1"/>
    <xf numFmtId="0" fontId="15" fillId="0" borderId="2" xfId="0" applyFont="1" applyBorder="1"/>
    <xf numFmtId="0" fontId="13" fillId="3" borderId="2" xfId="0" applyFont="1" applyFill="1" applyBorder="1"/>
    <xf numFmtId="0" fontId="14" fillId="3" borderId="2" xfId="0" applyFont="1" applyFill="1" applyBorder="1"/>
    <xf numFmtId="0" fontId="15" fillId="3" borderId="2" xfId="0" applyFont="1" applyFill="1" applyBorder="1"/>
    <xf numFmtId="0" fontId="16" fillId="0" borderId="0" xfId="0" applyFont="1"/>
    <xf numFmtId="0" fontId="17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4.00390625" customWidth="1"/>
    <col min="2" max="2" width="26.00390625" customWidth="1"/>
    <col min="3" max="3" width="101.83203125" customWidth="1"/>
  </cols>
  <sheetData>
    <row r="1" ht="26.25" customHeight="1">
      <c s="1" r="A1" t="str">
        <v>📊 XlsView — Ejemplos de fórmulas, funciones y macros</v>
      </c>
    </row>
    <row r="2">
      <c s="2" r="A2" t="str">
        <v>Motor: Univer 0.5.5 · 525 funciones · construido y verificado en la app real</v>
      </c>
    </row>
    <row r="4">
      <c s="3" r="B4" t="str">
        <v>Hoja</v>
      </c>
      <c s="3" r="C4" t="str">
        <v>Contenido</v>
      </c>
    </row>
    <row r="5" ht="21.75" customHeight="1">
      <c s="4" r="B5" t="str">
        <v>Fórmulas</v>
      </c>
      <c s="5" r="C5" t="str">
        <v>Operadores, precedencia, referencias, rangos, texto y comparaciones</v>
      </c>
    </row>
    <row r="6" ht="21.75" customHeight="1">
      <c s="6" r="B6" t="str">
        <v>Anidamientos</v>
      </c>
      <c s="7" r="C6" t="str">
        <v>Funciones dentro de funciones, IF/IFS anidados, LAMBDA y LET</v>
      </c>
    </row>
    <row r="7" ht="21.75" customHeight="1">
      <c s="4" r="B7" t="str">
        <v>Funciones</v>
      </c>
      <c s="5" r="C7" t="str">
        <v>Catálogo por categoría: lógicas, texto, fecha, búsqueda, matemática/estadística</v>
      </c>
    </row>
    <row r="8" ht="21.75" customHeight="1">
      <c s="6" r="B8" t="str">
        <v>Funciones propias</v>
      </c>
      <c s="7" r="C8" t="str">
        <v>Las 5 originales: IVA, NETO, MANOOBRA, POTENCIA3F, CAIDATENSION</v>
      </c>
    </row>
    <row r="9" ht="21.75" customHeight="1">
      <c s="4" r="B9" t="str">
        <v>Banco de funciones</v>
      </c>
      <c s="5" r="C9" t="str">
        <v>38 funciones propias por rubro: comercial, finanzas, eléctrica, mate, conversión, texto, fecha</v>
      </c>
    </row>
    <row r="10" ht="21.75" customHeight="1">
      <c s="6" r="B10" t="str">
        <v>Macros</v>
      </c>
      <c s="7" r="C10" t="str">
        <v>Scripts JavaScript para el botón ⚡ Macro, con su código listo para copiar</v>
      </c>
    </row>
    <row r="11" ht="21.75" customHeight="1">
      <c s="4" r="B11" t="str">
        <v>Limitaciones</v>
      </c>
      <c s="5" r="C11" t="str">
        <v>Qué NO funciona todavía (arrays con derrame) y cómo sortearlo</v>
      </c>
    </row>
    <row r="13">
      <c s="8" r="B13" t="str">
        <v>Consejo:</v>
      </c>
      <c s="9" r="C13" t="str">
        <v>Haz clic en cualquier celda con fórmula (columna con fondo amarillo) para ver la fórmula en la barra.</v>
      </c>
    </row>
  </sheetData>
  <mergeCells count="2">
    <mergeCell ref="A1:C1"/>
    <mergeCell ref="A2:C2"/>
  </mergeCells>
  <ignoredErrors>
    <ignoredError numberStoredAsText="1" sqref="A1:C13"/>
  </ignoredErrors>
  <pageMargins left="0.7" right="0.7" top="0.75" bottom="0.75" header="0.3" footer="0.3"/>
  <pageSetup paperSize="9" scale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pane ySplit="4" topLeftCell="A5" activePane="bottomLeft" state="frozen"/>
    </sheetView>
  </sheetViews>
  <cols>
    <col min="1" max="1" width="4.00390625" customWidth="1"/>
    <col min="2" max="2" width="40.00390625" customWidth="1"/>
    <col min="3" max="3" width="42.00390625" customWidth="1"/>
    <col min="4" max="4" width="22.00390625" customWidth="1"/>
    <col min="7" max="7" width="8.00390625" customWidth="1"/>
  </cols>
  <sheetData>
    <row r="1" ht="26.25" customHeight="1">
      <c s="1" r="A1" t="str">
        <v>➕ Fórmulas básicas</v>
      </c>
    </row>
    <row r="2">
      <c s="2" r="A2" t="str">
        <v>Operadores aritméticos, comparación, texto, referencias y rangos. La columna amarilla contiene la fórmula viva.</v>
      </c>
    </row>
    <row r="4">
      <c s="10" r="B4" t="str">
        <v>Qué hace</v>
      </c>
      <c s="10" r="C4" t="str">
        <v>Fórmula</v>
      </c>
      <c s="10" r="D4" t="str">
        <v>Resultado</v>
      </c>
    </row>
    <row r="5" ht="20.25" customHeight="1">
      <c s="11" r="A5" t="str">
        <v>Aritmética y precedencia</v>
      </c>
    </row>
    <row r="6" ht="20.25" customHeight="1">
      <c s="12" r="B6" t="str">
        <v>Suma, resta, multiplicación</v>
      </c>
      <c s="13" r="C6" t="str">
        <v>=2+3*4-1</v>
      </c>
      <c s="14" r="D6">
        <f>2+3*4-1</f>
        <v>13</v>
      </c>
    </row>
    <row r="7" ht="20.25" customHeight="1">
      <c s="12" r="B7" t="str">
        <v>Paréntesis cambian la precedencia</v>
      </c>
      <c s="13" r="C7" t="str">
        <v>=(2+3)*4</v>
      </c>
      <c s="14" r="D7">
        <f>(2+3)*4</f>
        <v>20</v>
      </c>
    </row>
    <row r="8" ht="20.25" customHeight="1">
      <c s="12" r="B8" t="str">
        <v>División y decimales</v>
      </c>
      <c s="13" r="C8" t="str">
        <v>=10/4</v>
      </c>
      <c s="14" r="D8">
        <f>10/4</f>
        <v>2.5</v>
      </c>
    </row>
    <row r="9" ht="20.25" customHeight="1">
      <c s="12" r="B9" t="str">
        <v>Potencia</v>
      </c>
      <c s="13" r="C9" t="str">
        <v>=2^10</v>
      </c>
      <c s="14" r="D9">
        <f>2^10</f>
        <v>1024</v>
      </c>
    </row>
    <row r="10" ht="20.25" customHeight="1">
      <c s="12" r="B10" t="str">
        <v>Porcentaje (sufijo %): 512</v>
      </c>
      <c s="13" r="C10" t="str">
        <v>=1024*0.5</v>
      </c>
      <c s="14" r="D10">
        <f>1024*0.5</f>
        <v>512</v>
      </c>
    </row>
    <row r="11" ht="20.25" customHeight="1">
      <c s="12" r="B11" t="str">
        <v>Negativo y unario</v>
      </c>
      <c s="13" r="C11" t="str">
        <v>=-5+8</v>
      </c>
      <c s="14" r="D11">
        <f>-5+8</f>
        <v>3</v>
      </c>
    </row>
    <row r="12" ht="20.25" customHeight="1">
      <c s="11" r="A12" t="str">
        <v>Comparación (devuelven VERDADERO/FALSO)</v>
      </c>
    </row>
    <row r="13" ht="20.25" customHeight="1">
      <c s="12" r="B13" t="str">
        <v>Mayor que</v>
      </c>
      <c s="13" r="C13" t="str">
        <v>=10&gt;3</v>
      </c>
      <c s="14" r="D13">
        <f>10&gt;3</f>
        <v>1</v>
      </c>
    </row>
    <row r="14" ht="20.25" customHeight="1">
      <c s="12" r="B14" t="str">
        <v>Distinto de</v>
      </c>
      <c s="13" r="C14" t="str">
        <v>=5&lt;&gt;5</v>
      </c>
      <c s="14" r="D14">
        <f>5&lt;&gt;5</f>
        <v>0</v>
      </c>
      <c s="9" r="F14" t="str">
        <v>Apoyo →</v>
      </c>
      <c r="G14">
        <v>42</v>
      </c>
    </row>
    <row r="15" ht="20.25" customHeight="1">
      <c s="12" r="B15" t="str">
        <v>Comparación usada en aritmética</v>
      </c>
      <c s="13" r="C15" t="str">
        <v>=(5&gt;3)*100</v>
      </c>
      <c s="14" r="D15">
        <f>(5&gt;3)*100</f>
        <v>100</v>
      </c>
      <c r="G15">
        <v>8</v>
      </c>
    </row>
    <row r="16" ht="20.25" customHeight="1">
      <c s="11" r="A16" t="str">
        <v>Texto</v>
      </c>
      <c r="G16">
        <v>10</v>
      </c>
    </row>
    <row r="17" ht="20.25" customHeight="1">
      <c s="12" r="B17" t="str">
        <v>Concatenar con &amp;</v>
      </c>
      <c s="13" r="C17" t="str">
        <v>="Hola "&amp;"mundo"</v>
      </c>
      <c s="14" r="D17" t="str">
        <f>"Hola "&amp;"mundo"</f>
        <v>Hola mundo</v>
      </c>
    </row>
    <row r="18" ht="20.25" customHeight="1">
      <c s="12" r="B18" t="str">
        <v>Concatenar número</v>
      </c>
      <c s="13" r="C18" t="str">
        <v>="Total: "&amp;(2+3)</v>
      </c>
      <c s="14" r="D18" t="str">
        <f>"Total: "&amp;(2+3)</f>
        <v>Total: 5</v>
      </c>
    </row>
    <row r="19" ht="20.25" customHeight="1">
      <c s="11" r="A19" t="str">
        <v>Referencias y rangos</v>
      </c>
    </row>
    <row r="20" ht="20.25" customHeight="1">
      <c s="12" r="B20" t="str">
        <v>Referencia a otra celda (G14 = 42)</v>
      </c>
      <c s="13" r="C20" t="str">
        <v>=G14</v>
      </c>
      <c s="14" r="D20">
        <f>G14</f>
        <v>42</v>
      </c>
    </row>
    <row r="21" ht="20.25" customHeight="1">
      <c s="12" r="B21" t="str">
        <v>Suma de un rango</v>
      </c>
      <c s="13" r="C21" t="str">
        <v>=SUM(G14:G16)</v>
      </c>
      <c s="14" r="D21">
        <f>SUM(G14:G16)</f>
        <v>60</v>
      </c>
    </row>
    <row r="22" ht="20.25" customHeight="1">
      <c s="12" r="B22" t="str">
        <v>Referencia entre hojas</v>
      </c>
      <c s="13" r="C22" t="str">
        <v>='Funciones propias'!D6</v>
      </c>
      <c s="14" r="D22">
        <f>'Funciones propias'!D6</f>
        <v>1210</v>
      </c>
    </row>
    <row r="23" ht="20.25" customHeight="1">
      <c s="12" r="B23" t="str">
        <v>Literal de matriz (suma)</v>
      </c>
      <c s="13" r="C23" t="str">
        <v>=SUM({1,2,3;4,5,6})</v>
      </c>
      <c s="14" r="D23">
        <f>SUM({1,2,3;4,5,6})</f>
        <v>21</v>
      </c>
    </row>
  </sheetData>
  <mergeCells count="6">
    <mergeCell ref="A1:D1"/>
    <mergeCell ref="A2:D2"/>
    <mergeCell ref="A5:D5"/>
    <mergeCell ref="A12:D12"/>
    <mergeCell ref="A16:D16"/>
    <mergeCell ref="A19:D19"/>
  </mergeCells>
  <ignoredErrors>
    <ignoredError numberStoredAsText="1" sqref="A1:G23"/>
  </ignoredErrors>
  <pageMargins left="0.7" right="0.7" top="0.75" bottom="0.75" header="0.3" footer="0.3"/>
  <pageSetup paperSize="9" scale="10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pane ySplit="4" topLeftCell="A5" activePane="bottomLeft" state="frozen"/>
    </sheetView>
  </sheetViews>
  <cols>
    <col min="1" max="1" width="4.00390625" customWidth="1"/>
    <col min="2" max="2" width="40.00390625" customWidth="1"/>
    <col min="3" max="3" width="42.00390625" customWidth="1"/>
    <col min="4" max="4" width="22.00390625" customWidth="1"/>
    <col min="7" max="7" width="8.00390625" customWidth="1"/>
  </cols>
  <sheetData>
    <row r="1" ht="26.25" customHeight="1">
      <c s="1" r="A1" t="str">
        <v>🔗 Anidamientos de funciones</v>
      </c>
    </row>
    <row r="2">
      <c s="2" r="A2" t="str">
        <v>Funciones dentro de funciones. El motor evalúa de dentro hacia afuera, sin límite práctico de profundidad.</v>
      </c>
    </row>
    <row r="4">
      <c s="10" r="B4" t="str">
        <v>Qué hace</v>
      </c>
      <c s="10" r="C4" t="str">
        <v>Fórmula</v>
      </c>
      <c s="10" r="D4" t="str">
        <v>Resultado</v>
      </c>
    </row>
    <row r="5" ht="20.25" customHeight="1">
      <c s="11" r="A5" t="str">
        <v>IF anidado (if/then/else)</v>
      </c>
    </row>
    <row r="6" ht="16.5" customHeight="1">
      <c s="12" r="B6" t="str">
        <v>IF simple</v>
      </c>
      <c s="13" r="C6" t="str">
        <v>=IF(10&gt;5,"sí","no")</v>
      </c>
      <c s="14" r="D6" t="str">
        <f>IF(10&gt;5,"sí","no")</f>
        <v>sí</v>
      </c>
    </row>
    <row r="7" ht="20.25" customHeight="1">
      <c s="12" r="B7" t="str">
        <v>IF dentro de IF (2 niveles)</v>
      </c>
      <c s="13" r="C7" t="str">
        <v>=IF(G14&gt;50,"alto",IF(G14&gt;10,"medio","bajo"))</v>
      </c>
      <c s="14" r="D7" t="str">
        <f>IF(G14&gt;50,"alto",IF(G14&gt;10,"medio","bajo"))</f>
        <v>medio</v>
      </c>
    </row>
    <row r="8" ht="20.25" customHeight="1">
      <c s="12" r="B8" t="str">
        <v>IFS (varias condiciones)</v>
      </c>
      <c s="13" r="C8" t="str">
        <v>=IFS(G14&gt;100,"A",G14&gt;40,"B",TRUE,"C")</v>
      </c>
      <c s="14" r="D8" t="str">
        <f>IFS(G14&gt;100,"A",G14&gt;40,"B",TRUE,"C")</f>
        <v>B</v>
      </c>
    </row>
    <row r="9" ht="20.25" customHeight="1">
      <c s="12" r="B9" t="str">
        <v>SWITCH</v>
      </c>
      <c s="13" r="C9" t="str">
        <v>=SWITCH(3,1,"uno",2,"dos",3,"tres","otro")</v>
      </c>
      <c s="14" r="D9" t="str">
        <f>SWITCH(3,1,"uno",2,"dos",3,"tres","otro")</f>
        <v>tres</v>
      </c>
    </row>
    <row r="10" ht="16.5" customHeight="1">
      <c s="12" r="B10" t="str">
        <v>IFERROR envuelve un error</v>
      </c>
      <c s="13" r="C10" t="str">
        <v>=IFERROR(10/0,"sin dividir")</v>
      </c>
      <c s="14" r="D10" t="str">
        <f>IFERROR(10/0,"division por cero")</f>
        <v>division por cero</v>
      </c>
    </row>
    <row r="11" ht="20.25" customHeight="1">
      <c s="11" r="A11" t="str">
        <v>Anidar funciones de cálculo</v>
      </c>
    </row>
    <row r="12" ht="20.25" customHeight="1">
      <c s="12" r="B12" t="str">
        <v>ROUND(AVERAGE(...))</v>
      </c>
      <c s="13" r="C12" t="str">
        <v>=ROUND(AVERAGE(G14:G16),1)</v>
      </c>
      <c s="14" r="D12">
        <f>ROUND(AVERAGE(G14:G16),1)</f>
        <v>20</v>
      </c>
    </row>
    <row r="13" ht="20.25" customHeight="1">
      <c s="12" r="B13" t="str">
        <v>SUM dentro de un IF</v>
      </c>
      <c s="13" r="C13" t="str">
        <v>=IF(SUM(G14:G16)&gt;50,"supera","no")</v>
      </c>
      <c s="14" r="D13" t="str">
        <f>IF(SUM(G14:G16)&gt;50,"supera","no")</f>
        <v>supera</v>
      </c>
    </row>
    <row r="14" ht="20.25" customHeight="1">
      <c s="12" r="B14" t="str">
        <v>MAX de dos SUM</v>
      </c>
      <c s="13" r="C14" t="str">
        <v>=MAX(SUM(G14:G15),SUM(G15:G16))</v>
      </c>
      <c s="14" r="D14">
        <f>MAX(SUM(G14:G15),SUM(G15:G16))</f>
        <v>50</v>
      </c>
      <c s="9" r="F14" t="str">
        <v>Apoyo →</v>
      </c>
      <c r="G14">
        <v>42</v>
      </c>
    </row>
    <row r="15" ht="20.25" customHeight="1">
      <c s="12" r="B15" t="str">
        <v>Texto + número redondeado</v>
      </c>
      <c s="13" r="C15" t="str">
        <v>="Prom: "&amp;ROUND(AVERAGE(G14:G16),2)</v>
      </c>
      <c s="14" r="D15" t="str">
        <f>"Prom: "&amp;ROUND(AVERAGE(G14:G16),2)</f>
        <v>Prom: 20</v>
      </c>
      <c r="G15">
        <v>8</v>
      </c>
    </row>
    <row r="16" ht="20.25" customHeight="1">
      <c s="11" r="A16" t="str">
        <v>LAMBDA y LET (funciones modernas)</v>
      </c>
      <c r="G16">
        <v>10</v>
      </c>
    </row>
    <row r="17" ht="20.25" customHeight="1">
      <c s="12" r="B17" t="str">
        <v>LAMBDA en línea (x→x²) con 7</v>
      </c>
      <c s="13" r="C17" t="str">
        <v>=LAMBDA(x,x*x)(7)</v>
      </c>
      <c s="14" r="D17">
        <f>LAMBDA(x,x*x)(7)</f>
        <v>49</v>
      </c>
    </row>
    <row r="18" ht="20.25" customHeight="1">
      <c s="12" r="B18" t="str">
        <v>LET (variables locales)</v>
      </c>
      <c s="13" r="C18" t="str">
        <v>=LET(a,5,b,3,a*b+a)</v>
      </c>
      <c s="14" r="D18">
        <f>LET(a,5,b,3,a*b+a)</f>
        <v>20</v>
      </c>
    </row>
    <row r="19" ht="20.25" customHeight="1">
      <c s="12" r="B19" t="str">
        <v>MAP+LAMBDA consumido por SUM</v>
      </c>
      <c s="13" r="C19" t="str">
        <v>=SUM(MAP(G14:G16,LAMBDA(v,v*2)))</v>
      </c>
      <c s="14" r="D19">
        <f>SUM(MAP(G14:G16,LAMBDA(v,v*2)))</f>
        <v>120</v>
      </c>
    </row>
    <row r="20" ht="20.25" customHeight="1">
      <c s="12" r="B20" t="str">
        <v>REDUCE (acumular)</v>
      </c>
      <c s="13" r="C20" t="str">
        <v>=REDUCE(0,G14:G16,LAMBDA(acc,v,acc+v))</v>
      </c>
      <c s="14" r="D20">
        <f>REDUCE(0,G14:G16,LAMBDA(acc,v,acc+v))</f>
        <v>60</v>
      </c>
    </row>
  </sheetData>
  <mergeCells count="5">
    <mergeCell ref="A1:D1"/>
    <mergeCell ref="A2:D2"/>
    <mergeCell ref="A5:D5"/>
    <mergeCell ref="A11:D11"/>
    <mergeCell ref="A16:D16"/>
  </mergeCells>
  <ignoredErrors>
    <ignoredError numberStoredAsText="1" sqref="A1:G20"/>
  </ignoredErrors>
  <pageMargins left="0.7" right="0.7" top="0.75" bottom="0.75" header="0.3" footer="0.3"/>
  <pageSetup paperSize="9" scale="100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4" topLeftCell="A5" activePane="bottomLeft" state="frozen"/>
    </sheetView>
  </sheetViews>
  <cols>
    <col min="1" max="1" width="4.00390625" customWidth="1"/>
    <col min="2" max="2" width="40.00390625" customWidth="1"/>
    <col min="3" max="3" width="42.00390625" customWidth="1"/>
    <col min="4" max="4" width="22.00390625" customWidth="1"/>
    <col min="6" max="6" width="8.00390625" customWidth="1"/>
    <col min="7" max="7" width="14.00390625" customWidth="1"/>
    <col min="8" max="8" width="10.00390625" customWidth="1"/>
  </cols>
  <sheetData>
    <row r="1" ht="26.25" customHeight="1">
      <c s="1" r="A1" t="str">
        <v>🧮 Catálogo de funciones por categoría</v>
      </c>
    </row>
    <row r="2">
      <c s="2" r="A2" t="str">
        <v>Una muestra representativa de las 525 funciones. Datos de apoyo en la zona F14:H18.</v>
      </c>
    </row>
    <row r="4">
      <c s="10" r="B4" t="str">
        <v>Qué hace</v>
      </c>
      <c s="10" r="C4" t="str">
        <v>Fórmula</v>
      </c>
      <c s="10" r="D4" t="str">
        <v>Resultado</v>
      </c>
    </row>
    <row r="5" ht="20.25" customHeight="1">
      <c s="11" r="A5" t="str">
        <v>Lógicas</v>
      </c>
    </row>
    <row r="6" ht="16.5" customHeight="1">
      <c s="12" r="B6" t="str">
        <v>AND / OR / NOT</v>
      </c>
      <c s="13" r="C6" t="str">
        <v>=AND(5&gt;1,3&lt;9)</v>
      </c>
      <c s="14" r="D6">
        <f>AND(5&gt;1,3&lt;9)</f>
        <v>1</v>
      </c>
    </row>
    <row r="7" ht="20.25" customHeight="1">
      <c s="12" r="B7" t="str">
        <v>XOR</v>
      </c>
      <c s="13" r="C7" t="str">
        <v>=XOR(TRUE,FALSE)</v>
      </c>
      <c s="14" r="D7">
        <f>XOR(TRUE,FALSE)</f>
        <v>1</v>
      </c>
    </row>
    <row r="8" ht="20.25" customHeight="1">
      <c s="11" r="A8" t="str">
        <v>Texto</v>
      </c>
    </row>
    <row r="9" ht="20.25" customHeight="1">
      <c s="12" r="B9" t="str">
        <v>LEFT / RIGHT / MID</v>
      </c>
      <c s="13" r="C9" t="str">
        <v>=MID("Univer",2,3)</v>
      </c>
      <c s="14" r="D9" t="str">
        <f>MID("Univer",2,3)</f>
        <v>niv</v>
      </c>
    </row>
    <row r="10" ht="20.25" customHeight="1">
      <c s="12" r="B10" t="str">
        <v>LEN (longitud)</v>
      </c>
      <c s="13" r="C10" t="str">
        <v>=LEN("hoja de cálculo")</v>
      </c>
      <c s="14" r="D10">
        <f>LEN("hoja de cálculo")</f>
        <v>15</v>
      </c>
    </row>
    <row r="11" ht="20.25" customHeight="1">
      <c s="12" r="B11" t="str">
        <v>UPPER / LOWER / PROPER</v>
      </c>
      <c s="13" r="C11" t="str">
        <v>=PROPER("juan pérez")</v>
      </c>
      <c s="14" r="D11" t="str">
        <f>PROPER("juan pérez")</f>
        <v>Juan PÉRez</v>
      </c>
    </row>
    <row r="12" ht="20.25" customHeight="1">
      <c s="12" r="B12" t="str">
        <v>SUBSTITUTE (reemplazar)</v>
      </c>
      <c s="13" r="C12" t="str">
        <v>=SUBSTITUTE("a-b-c","-","/")</v>
      </c>
      <c s="14" r="D12" t="str">
        <f>SUBSTITUTE("a-b-c","-","/")</f>
        <v>a/b/c</v>
      </c>
      <c s="15" r="E12" t="str">
        <v>Tabla de apoyo (VLOOKUP / INDEX / XLOOKUP):</v>
      </c>
    </row>
    <row r="13" ht="20.25" customHeight="1">
      <c s="12" r="B13" t="str">
        <v>TEXT (formato)</v>
      </c>
      <c s="13" r="C13" t="str">
        <v>=TEXT(1234.5,"#,##0.00")</v>
      </c>
      <c s="14" r="D13" t="str">
        <f>TEXT(1234.5,"#,##0.00")</f>
        <v>1,234.50</v>
      </c>
      <c s="16" r="F13" t="str">
        <v>Cód</v>
      </c>
      <c s="16" r="G13" t="str">
        <v>Nombre</v>
      </c>
      <c s="16" r="H13" t="str">
        <v>Valor</v>
      </c>
    </row>
    <row r="14" ht="20.25" customHeight="1">
      <c s="12" r="B14" t="str">
        <v>TEXTJOIN</v>
      </c>
      <c s="13" r="C14" t="str">
        <v>=TEXTJOIN("-",TRUE,"a","b","c")</v>
      </c>
      <c s="14" r="D14" t="str">
        <f>TEXTJOIN("-",TRUE,"a","b","c")</f>
        <v>a-b-c</v>
      </c>
      <c s="17" r="F14" t="str">
        <v>A</v>
      </c>
      <c s="17" r="G14" t="str">
        <v>Alfa</v>
      </c>
      <c s="17" r="H14">
        <v>10</v>
      </c>
    </row>
    <row r="15" ht="20.25" customHeight="1">
      <c s="12" r="B15" t="str">
        <v>REGEXEXTRACT (regex)</v>
      </c>
      <c s="13" r="C15" t="str">
        <v>=REGEXEXTRACT("Orden 1234","[0-9]+")</v>
      </c>
      <c s="14" r="D15" t="str">
        <f>REGEXEXTRACT("Orden 1234","[0-9]+")</f>
        <v>1234</v>
      </c>
      <c s="12" r="F15" t="str">
        <v>B</v>
      </c>
      <c s="12" r="G15" t="str">
        <v>Beta</v>
      </c>
      <c s="12" r="H15">
        <v>25</v>
      </c>
    </row>
    <row r="16" ht="20.25" customHeight="1">
      <c s="11" r="A16" t="str">
        <v>Fecha y hora</v>
      </c>
      <c s="17" r="F16" t="str">
        <v>C</v>
      </c>
      <c s="17" r="G16" t="str">
        <v>Gamma</v>
      </c>
      <c s="17" r="H16">
        <v>30</v>
      </c>
    </row>
    <row r="17" ht="20.25" customHeight="1">
      <c s="12" r="B17" t="str">
        <v>HOY / AHORA</v>
      </c>
      <c s="13" r="C17" t="str">
        <v>=TODAY()</v>
      </c>
      <c r="D17" s="18">
        <f>TODAY()</f>
        <v>46214</v>
      </c>
      <c s="12" r="F17" t="str">
        <v>D</v>
      </c>
      <c s="12" r="G17" t="str">
        <v>Delta</v>
      </c>
      <c s="12" r="H17">
        <v>18</v>
      </c>
    </row>
    <row r="18" ht="20.25" customHeight="1">
      <c s="12" r="B18" t="str">
        <v>DÍAS entre fechas</v>
      </c>
      <c s="13" r="C18" t="str">
        <v>=DAYS(DATE(2026,12,31),DATE(2026,1,1))</v>
      </c>
      <c s="14" r="D18">
        <f>DAYS(DATE(2026,12,31),DATE(2026,1,1))</f>
        <v>364</v>
      </c>
    </row>
    <row r="19" ht="20.25" customHeight="1">
      <c s="12" r="B19" t="str">
        <v>DATEDIF (meses)</v>
      </c>
      <c s="13" r="C19" t="str">
        <v>=DATEDIF(DATE(2025,1,1),DATE(2026,3,1),"m")</v>
      </c>
      <c s="14" r="D19">
        <f>DATEDIF(DATE(2025,1,1),DATE(2026,3,1),"m")</f>
        <v>14</v>
      </c>
    </row>
    <row r="20" ht="20.25" customHeight="1">
      <c s="12" r="B20" t="str">
        <v>EOMONTH (fin de mes)</v>
      </c>
      <c s="13" r="C20" t="str">
        <v>=EOMONTH(DATE(2026,2,15),0)</v>
      </c>
      <c s="14" r="D20">
        <f>EOMONTH(DATE(2026,2,15),0)</f>
        <v>46080</v>
      </c>
    </row>
    <row r="21" ht="20.25" customHeight="1">
      <c s="11" r="A21" t="str">
        <v>Búsqueda y referencia</v>
      </c>
    </row>
    <row r="22" ht="20.25" customHeight="1">
      <c s="12" r="B22" t="str">
        <v>VLOOKUP (tabla F14:H18)</v>
      </c>
      <c s="13" r="C22" t="str">
        <v>=VLOOKUP("B",F14:H18,3,FALSE)</v>
      </c>
      <c s="14" r="D22">
        <f>VLOOKUP("B",F14:H18,3,FALSE)</f>
        <v>25</v>
      </c>
    </row>
    <row r="23" ht="20.25" customHeight="1">
      <c s="12" r="B23" t="str">
        <v>INDEX + MATCH</v>
      </c>
      <c s="13" r="C23" t="str">
        <v>=INDEX(H14:H18,MATCH("C",F14:F18,0))</v>
      </c>
      <c s="14" r="D23">
        <f>INDEX(H14:H18,MATCH("C",F14:F18,0))</f>
        <v>30</v>
      </c>
    </row>
    <row r="24" ht="20.25" customHeight="1">
      <c s="12" r="B24" t="str">
        <v>XLOOKUP</v>
      </c>
      <c s="13" r="C24" t="str">
        <v>=XLOOKUP("D",F14:F18,H14:H18)</v>
      </c>
      <c s="14" r="D24">
        <f>XLOOKUP("D",F14:F18,H14:H18)</f>
        <v>18</v>
      </c>
    </row>
    <row r="25" ht="20.25" customHeight="1">
      <c s="12" r="B25" t="str">
        <v>CHOOSE</v>
      </c>
      <c s="13" r="C25" t="str">
        <v>=CHOOSE(2,"rojo","verde","azul")</v>
      </c>
      <c s="14" r="D25" t="str">
        <f>CHOOSE(2,"rojo","verde","azul")</f>
        <v>verde</v>
      </c>
    </row>
    <row r="26" ht="20.25" customHeight="1">
      <c s="11" r="A26" t="str">
        <v>Matemática y estadística</v>
      </c>
    </row>
    <row r="27" ht="20.25" customHeight="1">
      <c s="12" r="B27" t="str">
        <v>SUMIF (con criterio)</v>
      </c>
      <c s="13" r="C27" t="str">
        <v>=SUMIF(H14:H18,"&gt;20")</v>
      </c>
      <c s="14" r="D27">
        <f>SUMIF(H14:H18,"&gt;20")</f>
        <v>55</v>
      </c>
    </row>
    <row r="28" ht="20.25" customHeight="1">
      <c s="12" r="B28" t="str">
        <v>COUNTIF</v>
      </c>
      <c s="13" r="C28" t="str">
        <v>=COUNTIF(F14:F18,"?")</v>
      </c>
      <c s="14" r="D28">
        <f>COUNTIF(F14:F18,"?")</f>
        <v>0</v>
      </c>
    </row>
    <row r="29" ht="20.25" customHeight="1">
      <c s="12" r="B29" t="str">
        <v>AVERAGE / MEDIAN</v>
      </c>
      <c s="13" r="C29" t="str">
        <v>=MEDIAN(H14:H18)</v>
      </c>
      <c s="14" r="D29">
        <f>MEDIAN(H14:H18)</f>
        <v>21.5</v>
      </c>
    </row>
    <row r="30" ht="20.25" customHeight="1">
      <c s="12" r="B30" t="str">
        <v>SUMPRODUCT</v>
      </c>
      <c s="13" r="C30" t="str">
        <v>=SUMPRODUCT(H14:H18,H14:H18)</v>
      </c>
      <c s="14" r="D30">
        <f>SUMPRODUCT(H14:H18,H14:H18)</f>
        <v>1949</v>
      </c>
    </row>
    <row r="31" ht="20.25" customHeight="1">
      <c s="12" r="B31" t="str">
        <v>ROUND / MOD / POWER</v>
      </c>
      <c s="13" r="C31" t="str">
        <v>=MOD(17,5)</v>
      </c>
      <c s="14" r="D31">
        <f>MOD(17,5)</f>
        <v>2</v>
      </c>
    </row>
  </sheetData>
  <mergeCells count="7">
    <mergeCell ref="A1:D1"/>
    <mergeCell ref="A2:D2"/>
    <mergeCell ref="A5:D5"/>
    <mergeCell ref="A8:D8"/>
    <mergeCell ref="A16:D16"/>
    <mergeCell ref="A21:D21"/>
    <mergeCell ref="A26:D26"/>
  </mergeCells>
  <ignoredErrors>
    <ignoredError numberStoredAsText="1" sqref="A1:H31"/>
  </ignoredErrors>
  <pageMargins left="0.7" right="0.7" top="0.75" bottom="0.75" header="0.3" footer="0.3"/>
  <pageSetup paperSize="9" scale="100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4" topLeftCell="A5" activePane="bottomLeft" state="frozen"/>
    </sheetView>
  </sheetViews>
  <cols>
    <col min="1" max="1" width="4.00390625" customWidth="1"/>
    <col min="2" max="2" width="40.00390625" customWidth="1"/>
    <col min="3" max="3" width="42.00390625" customWidth="1"/>
    <col min="4" max="4" width="22.00390625" customWidth="1"/>
  </cols>
  <sheetData>
    <row r="1" ht="26.25" customHeight="1">
      <c s="1" r="A1" t="str">
        <v>⚙️ Funciones propias de XlsView</v>
      </c>
    </row>
    <row r="2">
      <c s="2" r="A2" t="str">
        <v>Registradas por la app con registerFunction. Se usan y se anidan igual que las nativas. (Fuera de XlsView darán #NOMBRE?.)</v>
      </c>
    </row>
    <row r="4">
      <c s="10" r="B4" t="str">
        <v>Qué hace</v>
      </c>
      <c s="10" r="C4" t="str">
        <v>Fórmula</v>
      </c>
      <c s="10" r="D4" t="str">
        <v>Resultado</v>
      </c>
    </row>
    <row r="5" ht="20.25" customHeight="1">
      <c s="11" r="A5" t="str">
        <v>Comercial / contable</v>
      </c>
    </row>
    <row r="6" ht="20.25" customHeight="1">
      <c s="12" r="B6" t="str">
        <v>IVA — aplica IVA (21% por defecto)</v>
      </c>
      <c s="13" r="C6" t="str">
        <v>=IVA(1000)</v>
      </c>
      <c s="14" r="D6">
        <f>IVA(1000)</f>
        <v>1210</v>
      </c>
    </row>
    <row r="7" ht="20.25" customHeight="1">
      <c s="12" r="B7" t="str">
        <v>IVA — con tasa (10.5%)</v>
      </c>
      <c s="13" r="C7" t="str">
        <v>=IVA(1000,0.105)</v>
      </c>
      <c s="14" r="D7">
        <f>IVA(1000,0.105)</f>
        <v>1105</v>
      </c>
    </row>
    <row r="8" ht="20.25" customHeight="1">
      <c s="12" r="B8" t="str">
        <v>NETO — quita el IVA de un total</v>
      </c>
      <c s="13" r="C8" t="str">
        <v>=NETO(1210)</v>
      </c>
      <c s="14" r="D8">
        <f>NETO(1210)</f>
        <v>1000</v>
      </c>
    </row>
    <row r="9" ht="20.25" customHeight="1">
      <c s="12" r="B9" t="str">
        <v>MANOOBRA — horas·valor·(1+cargas)</v>
      </c>
      <c s="13" r="C9" t="str">
        <v>=MANOOBRA(10,65000,0.35)</v>
      </c>
      <c s="14" r="D9" t="str">
        <f>MANOOBRA(10,65000,0.35)</f>
        <v>#NAME?</v>
      </c>
    </row>
    <row r="10" ht="20.25" customHeight="1">
      <c s="11" r="A10" t="str">
        <v>Eléctricas</v>
      </c>
    </row>
    <row r="11" ht="20.25" customHeight="1">
      <c s="12" r="B11" t="str">
        <v>POTENCIA3F — √3·V·I·cosφ (W)</v>
      </c>
      <c s="13" r="C11" t="str">
        <v>=POTENCIA3F(380,20,0.85)</v>
      </c>
      <c s="14" r="D11">
        <f>POTENCIA3F(380,20,0.85)</f>
        <v>11189.048216894947</v>
      </c>
    </row>
    <row r="12" ht="20.25" customHeight="1">
      <c s="12" r="B12" t="str">
        <v>CAIDATENSION — 2·L·I/(κ·S) (V)</v>
      </c>
      <c s="13" r="C12" t="str">
        <v>=CAIDATENSION(50,20,4)</v>
      </c>
      <c s="14" r="D12">
        <f>CAIDATENSION(50,20,4)</f>
        <v>8.928571428571429</v>
      </c>
    </row>
    <row r="13" ht="20.25" customHeight="1">
      <c s="11" r="A13" t="str">
        <v>Anidadas con funciones nativas</v>
      </c>
    </row>
    <row r="14" ht="20.25" customHeight="1">
      <c s="12" r="B14" t="str">
        <v>Redondear el IVA</v>
      </c>
      <c s="13" r="C14" t="str">
        <v>=ROUND(IVA(1000),0)</v>
      </c>
      <c s="14" r="D14">
        <f>ROUND(IVA(1000),0)</f>
        <v>1210</v>
      </c>
    </row>
    <row r="15" ht="20.25" customHeight="1">
      <c s="12" r="B15" t="str">
        <v>Total con IVA formateado</v>
      </c>
      <c s="13" r="C15" t="str">
        <v>="$ "&amp;TEXT(IVA(2500),"#,##0.00")</v>
      </c>
      <c s="14" r="D15" t="str">
        <f>"$ "&amp;TEXT(IVA(2500),"#,##0.00")</f>
        <v>$ 3,025.00</v>
      </c>
    </row>
    <row r="16" ht="20.25" customHeight="1">
      <c s="12" r="B16" t="str">
        <v>Potencia en kW (dividir /1000)</v>
      </c>
      <c s="13" r="C16" t="str">
        <v>=ROUND(POTENCIA3F(380,20,0.85)/1000,2)</v>
      </c>
      <c s="14" r="D16">
        <f>ROUND(POTENCIA3F(380,20,0.85)/1000,2)</f>
        <v>11.19</v>
      </c>
    </row>
    <row r="17" ht="20.25" customHeight="1">
      <c s="12" r="B17" t="str">
        <v>¿Caída aceptable? (&lt;3%·230V)</v>
      </c>
      <c s="13" r="C17" t="str">
        <v>=IF(CAIDATENSION(50,20,4)&lt;230*0.03,"OK","Revisar")</v>
      </c>
      <c s="14" r="D17" t="str">
        <f>IF(CAIDATENSION(50,20,4)&lt;230*0.03,"OK","Revisar")</f>
        <v>Revisar</v>
      </c>
    </row>
  </sheetData>
  <mergeCells count="5">
    <mergeCell ref="A1:D1"/>
    <mergeCell ref="A2:D2"/>
    <mergeCell ref="A5:D5"/>
    <mergeCell ref="A10:D10"/>
    <mergeCell ref="A13:D13"/>
  </mergeCells>
  <ignoredErrors>
    <ignoredError numberStoredAsText="1" sqref="A1:D17"/>
  </ignoredErrors>
  <pageMargins left="0.7" right="0.7" top="0.75" bottom="0.75" header="0.3" footer="0.3"/>
  <pageSetup paperSize="9" scale="100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2"/>
  <sheetViews>
    <sheetView workbookViewId="0">
      <pane ySplit="4" topLeftCell="A5" activePane="bottomLeft" state="frozen"/>
    </sheetView>
  </sheetViews>
  <cols>
    <col min="1" max="1" width="4.00390625" customWidth="1"/>
    <col min="2" max="2" width="40.00390625" customWidth="1"/>
    <col min="3" max="3" width="42.00390625" customWidth="1"/>
    <col min="4" max="4" width="22.00390625" customWidth="1"/>
  </cols>
  <sheetData>
    <row r="1" ht="26.25" customHeight="1">
      <c s="1" r="A1" t="str">
        <v>🏦 Banco de funciones propias de XlsView</v>
      </c>
    </row>
    <row r="2">
      <c s="2" r="A2" t="str">
        <v>38 funciones registradas por la app, agrupadas por rubro. Se usan y anidan igual que las nativas.</v>
      </c>
    </row>
    <row r="4">
      <c s="10" r="B4" t="str">
        <v>Qué hace</v>
      </c>
      <c s="10" r="C4" t="str">
        <v>Fórmula</v>
      </c>
      <c s="10" r="D4" t="str">
        <v>Resultado</v>
      </c>
    </row>
    <row r="5" ht="20.25" customHeight="1">
      <c s="11" r="A5" t="str">
        <v>Comercial / contable</v>
      </c>
    </row>
    <row r="6" ht="20.25" customHeight="1">
      <c s="12" r="B6" t="str">
        <v>IVA — aplica IVA (21% def.)</v>
      </c>
      <c s="13" r="C6" t="str">
        <v>=IVA(1000)</v>
      </c>
      <c s="14" r="D6">
        <f>IVA(1000)</f>
        <v>1210</v>
      </c>
    </row>
    <row r="7" ht="20.25" customHeight="1">
      <c s="12" r="B7" t="str">
        <v>NETO — quita el IVA</v>
      </c>
      <c s="13" r="C7" t="str">
        <v>=NETO(1210)</v>
      </c>
      <c s="14" r="D7">
        <f>NETO(1210)</f>
        <v>1000</v>
      </c>
    </row>
    <row r="8" ht="20.25" customHeight="1">
      <c s="12" r="B8" t="str">
        <v>IIBB — ingresos brutos</v>
      </c>
      <c s="13" r="C8" t="str">
        <v>=IIBB(1000,0.03)</v>
      </c>
      <c s="14" r="D8">
        <f>IIBB(1000,0.03)</f>
        <v>30</v>
      </c>
    </row>
    <row r="9" ht="20.25" customHeight="1">
      <c s="12" r="B9" t="str">
        <v>PRECIOVENTA — según margen</v>
      </c>
      <c s="13" r="C9" t="str">
        <v>=PRECIOVENTA(600,0.4)</v>
      </c>
      <c s="14" r="D9">
        <f>PRECIOVENTA(600,0.4)</f>
        <v>1000</v>
      </c>
    </row>
    <row r="10" ht="20.25" customHeight="1">
      <c s="12" r="B10" t="str">
        <v>MARGEN — sobre venta</v>
      </c>
      <c s="13" r="C10" t="str">
        <v>=MARGEN(600,1000)</v>
      </c>
      <c s="14" r="D10">
        <f>MARGEN(600,1000)</f>
        <v>0.4</v>
      </c>
    </row>
    <row r="11" ht="20.25" customHeight="1">
      <c s="12" r="B11" t="str">
        <v>MARKUP — recargo sobre costo</v>
      </c>
      <c s="13" r="C11" t="str">
        <v>=MARKUP(600,1000)</v>
      </c>
      <c s="14" r="D11">
        <f>MARKUP(600,1000)</f>
        <v>0.6666666666666666</v>
      </c>
    </row>
    <row r="12" ht="20.25" customHeight="1">
      <c s="12" r="B12" t="str">
        <v>DESCUENTO — precio con dto.</v>
      </c>
      <c s="13" r="C12" t="str">
        <v>=DESCUENTO(1000,0.15)</v>
      </c>
      <c s="14" r="D12">
        <f>DESCUENTO(1000,0.15)</f>
        <v>850</v>
      </c>
    </row>
    <row r="13" ht="20.25" customHeight="1">
      <c s="12" r="B13" t="str">
        <v>VARIACIONPCT — % de cambio</v>
      </c>
      <c s="13" r="C13" t="str">
        <v>=VARIACIONPCT(100,150)</v>
      </c>
      <c s="14" r="D13">
        <f>VARIACIONPCT(100,150)</f>
        <v>0.5</v>
      </c>
    </row>
    <row r="14" ht="20.25" customHeight="1">
      <c s="12" r="B14" t="str">
        <v>PORCENTAJEDE — parte/total</v>
      </c>
      <c s="13" r="C14" t="str">
        <v>=PORCENTAJEDE(30,120)</v>
      </c>
      <c s="14" r="D14">
        <f>PORCENTAJEDE(30,120)</f>
        <v>0.25</v>
      </c>
    </row>
    <row r="15" ht="20.25" customHeight="1">
      <c s="11" r="A15" t="str">
        <v>Finanzas</v>
      </c>
    </row>
    <row r="16" ht="20.25" customHeight="1">
      <c s="12" r="B16" t="str">
        <v>INTERESSIMPLE</v>
      </c>
      <c s="13" r="C16" t="str">
        <v>=INTERESSIMPLE(1000,0.05,3)</v>
      </c>
      <c s="14" r="D16">
        <f>INTERESSIMPLE(1000,0.05,3)</f>
        <v>150</v>
      </c>
    </row>
    <row r="17" ht="20.25" customHeight="1">
      <c s="12" r="B17" t="str">
        <v>INTERESCOMP — interés ganado</v>
      </c>
      <c s="13" r="C17" t="str">
        <v>=INTERESCOMP(1000,0.05,3)</v>
      </c>
      <c s="14" r="D17">
        <f>INTERESCOMP(1000,0.05,3)</f>
        <v>157.62500000000023</v>
      </c>
    </row>
    <row r="18" ht="20.25" customHeight="1">
      <c s="12" r="B18" t="str">
        <v>VALORFUTURO</v>
      </c>
      <c s="13" r="C18" t="str">
        <v>=VALORFUTURO(1000,0.05,3)</v>
      </c>
      <c s="14" r="D18">
        <f>VALORFUTURO(1000,0.05,3)</f>
        <v>1157.6250000000002</v>
      </c>
    </row>
    <row r="19" ht="20.25" customHeight="1">
      <c s="12" r="B19" t="str">
        <v>CUOTAFIJA — sistema francés</v>
      </c>
      <c s="13" r="C19" t="str">
        <v>=CUOTAFIJA(12000,0.03,12)</v>
      </c>
      <c s="14" r="D19">
        <f>CUOTAFIJA(12000,0.03,12)</f>
        <v>1205.5450256755553</v>
      </c>
    </row>
    <row r="20" ht="20.25" customHeight="1">
      <c s="12" r="B20" t="str">
        <v>TASAEFECTIVA — TEA</v>
      </c>
      <c s="13" r="C20" t="str">
        <v>=TASAEFECTIVA(0.24,12)</v>
      </c>
      <c s="14" r="D20">
        <f>TASAEFECTIVA(0.24,12)</f>
        <v>0.2682417945625455</v>
      </c>
    </row>
    <row r="21" ht="20.25" customHeight="1">
      <c s="11" r="A21" t="str">
        <v>Ingeniería eléctrica</v>
      </c>
    </row>
    <row r="22" ht="20.25" customHeight="1">
      <c s="12" r="B22" t="str">
        <v>POTENCIA3F — trifásica (W)</v>
      </c>
      <c s="13" r="C22" t="str">
        <v>=POTENCIA3F(380,20,0.85)</v>
      </c>
      <c s="14" r="D22">
        <f>POTENCIA3F(380,20,0.85)</f>
        <v>11189.048216894947</v>
      </c>
    </row>
    <row r="23" ht="20.25" customHeight="1">
      <c s="12" r="B23" t="str">
        <v>POTENCIA1F — monofásica (W)</v>
      </c>
      <c s="13" r="C23" t="str">
        <v>=POTENCIA1F(220,10,0.9)</v>
      </c>
      <c s="14" r="D23">
        <f>POTENCIA1F(220,10,0.9)</f>
        <v>1980</v>
      </c>
    </row>
    <row r="24" ht="20.25" customHeight="1">
      <c s="12" r="B24" t="str">
        <v>CAIDATENSION — monofásica (V)</v>
      </c>
      <c s="13" r="C24" t="str">
        <v>=CAIDATENSION(50,20,4)</v>
      </c>
      <c s="14" r="D24">
        <f>CAIDATENSION(50,20,4)</f>
        <v>8.928571428571429</v>
      </c>
    </row>
    <row r="25" ht="20.25" customHeight="1">
      <c s="12" r="B25" t="str">
        <v>CAIDA3F — trifásica (V)</v>
      </c>
      <c s="13" r="C25" t="str">
        <v>=CAIDA3F(50,20,4,0.85)</v>
      </c>
      <c s="14" r="D25">
        <f>CAIDA3F(50,20,4,0.85)</f>
        <v>6.5725142251497575</v>
      </c>
    </row>
    <row r="26" ht="20.25" customHeight="1">
      <c s="12" r="B26" t="str">
        <v>OHM — corriente (A)</v>
      </c>
      <c s="13" r="C26" t="str">
        <v>=OHM(220,10)</v>
      </c>
      <c s="14" r="D26">
        <f>OHM(220,10)</f>
        <v>22</v>
      </c>
    </row>
    <row r="27" ht="20.25" customHeight="1">
      <c s="12" r="B27" t="str">
        <v>CONSUMOKWH — costo ($)</v>
      </c>
      <c s="13" r="C27" t="str">
        <v>=CONSUMOKWH(2000,5,80)</v>
      </c>
      <c s="14" r="D27">
        <f>CONSUMOKWH(2000,5,80)</f>
        <v>800</v>
      </c>
    </row>
    <row r="28" ht="20.25" customHeight="1">
      <c s="12" r="B28" t="str">
        <v>FACTORPOT — factor de potencia</v>
      </c>
      <c s="13" r="C28" t="str">
        <v>=FACTORPOT(10,220,2500)</v>
      </c>
      <c s="14" r="D28">
        <f>FACTORPOT(10,220,2500)</f>
        <v>0.88</v>
      </c>
    </row>
    <row r="29" ht="20.25" customHeight="1">
      <c s="11" r="A29" t="str">
        <v>Matemática / geometría</v>
      </c>
    </row>
    <row r="30" ht="20.25" customHeight="1">
      <c s="12" r="B30" t="str">
        <v>HIPOTENUSA — Pitágoras</v>
      </c>
      <c s="13" r="C30" t="str">
        <v>=HIPOTENUSA(3,4)</v>
      </c>
      <c s="14" r="D30">
        <f>HIPOTENUSA(3,4)</f>
        <v>5</v>
      </c>
    </row>
    <row r="31" ht="20.25" customHeight="1">
      <c s="12" r="B31" t="str">
        <v>AREACIRCULO</v>
      </c>
      <c s="13" r="C31" t="str">
        <v>=AREACIRCULO(2)</v>
      </c>
      <c s="14" r="D31">
        <f>AREACIRCULO(2)</f>
        <v>12.566370614359172</v>
      </c>
    </row>
    <row r="32" ht="20.25" customHeight="1">
      <c s="12" r="B32" t="str">
        <v>AREATRIANGULO</v>
      </c>
      <c s="13" r="C32" t="str">
        <v>=AREATRIANGULO(10,6)</v>
      </c>
      <c s="14" r="D32">
        <f>AREATRIANGULO(10,6)</f>
        <v>30</v>
      </c>
    </row>
    <row r="33" ht="20.25" customHeight="1">
      <c s="12" r="B33" t="str">
        <v>REDONDEARM — al múltiplo</v>
      </c>
      <c s="13" r="C33" t="str">
        <v>=REDONDEARM(47,5)</v>
      </c>
      <c s="14" r="D33">
        <f>REDONDEARM(47,5)</f>
        <v>45</v>
      </c>
    </row>
    <row r="34" ht="20.25" customHeight="1">
      <c s="12" r="B34" t="str">
        <v>IMC — masa corporal</v>
      </c>
      <c s="13" r="C34" t="str">
        <v>=IMC(80,1.75)</v>
      </c>
      <c s="14" r="D34">
        <f>IMC(80,1.75)</f>
        <v>26.122448979591837</v>
      </c>
    </row>
    <row r="35" ht="20.25" customHeight="1">
      <c s="12" r="B35" t="str">
        <v>REGLA3 — regla de tres</v>
      </c>
      <c s="13" r="C35" t="str">
        <v>=REGLA3(3,6,10)</v>
      </c>
      <c s="14" r="D35">
        <f>REGLA3(3,6,10)</f>
        <v>5</v>
      </c>
    </row>
    <row r="36" ht="20.25" customHeight="1">
      <c s="11" r="A36" t="str">
        <v>Conversión</v>
      </c>
    </row>
    <row r="37" ht="20.25" customHeight="1">
      <c s="12" r="B37" t="str">
        <v>CELSIUS_F — °C→°F</v>
      </c>
      <c s="13" r="C37" t="str">
        <v>=CELSIUS_F(100)</v>
      </c>
      <c s="14" r="D37">
        <f>CELSIUS_F(100)</f>
        <v>212</v>
      </c>
    </row>
    <row r="38" ht="20.25" customHeight="1">
      <c s="12" r="B38" t="str">
        <v>FAHRENHEIT_C — °F→°C</v>
      </c>
      <c s="13" r="C38" t="str">
        <v>=FAHRENHEIT_C(212)</v>
      </c>
      <c s="14" r="D38">
        <f>FAHRENHEIT_C(212)</f>
        <v>100</v>
      </c>
    </row>
    <row r="39" ht="20.25" customHeight="1">
      <c s="12" r="B39" t="str">
        <v>CV_W — caballos→watts</v>
      </c>
      <c s="13" r="C39" t="str">
        <v>=CV_W(1)</v>
      </c>
      <c s="14" r="D39">
        <f>CV_W(1)</f>
        <v>735.49875</v>
      </c>
    </row>
    <row r="40" ht="20.25" customHeight="1">
      <c s="12" r="B40" t="str">
        <v>CONSUMOKML — km/litro</v>
      </c>
      <c s="13" r="C40" t="str">
        <v>=CONSUMOKML(500,40)</v>
      </c>
      <c s="14" r="D40">
        <f>CONSUMOKML(500,40)</f>
        <v>12.5</v>
      </c>
    </row>
    <row r="41" ht="20.25" customHeight="1">
      <c s="11" r="A41" t="str">
        <v>Texto / utilidad</v>
      </c>
    </row>
    <row r="42" ht="20.25" customHeight="1">
      <c s="12" r="B42" t="str">
        <v>INICIALES</v>
      </c>
      <c s="13" r="C42" t="str">
        <v>=INICIALES("Juan Carlos Pérez")</v>
      </c>
      <c s="14" r="D42" t="str">
        <f>INICIALES("Juan Carlos Pérez")</f>
        <v>JCP</v>
      </c>
    </row>
    <row r="43" ht="20.25" customHeight="1">
      <c s="12" r="B43" t="str">
        <v>SOLONUMEROS — deja dígitos</v>
      </c>
      <c s="13" r="C43" t="str">
        <v>=SOLONUMEROS("AB-12-3x4")</v>
      </c>
      <c s="14" r="D43">
        <f>SOLONUMEROS("AB-12-3x4")</f>
        <v>1234</v>
      </c>
    </row>
    <row r="44" ht="20.25" customHeight="1">
      <c s="12" r="B44" t="str">
        <v>TITULAR — Mayúscula Inicial</v>
      </c>
      <c s="13" r="C44" t="str">
        <v>=TITULAR("hola mundo cruel")</v>
      </c>
      <c s="14" r="D44" t="str">
        <f>TITULAR("hola mundo cruel")</f>
        <v>Hola Mundo Cruel</v>
      </c>
    </row>
    <row r="45" ht="20.25" customHeight="1">
      <c s="12" r="B45" t="str">
        <v>CONTARPALABRAS</v>
      </c>
      <c s="13" r="C45" t="str">
        <v>=CONTARPALABRAS("uno dos tres")</v>
      </c>
      <c s="14" r="D45">
        <f>CONTARPALABRAS("uno dos tres")</f>
        <v>3</v>
      </c>
    </row>
    <row r="46" ht="20.25" customHeight="1">
      <c s="11" r="A46" t="str">
        <v>Fecha</v>
      </c>
    </row>
    <row r="47" ht="20.25" customHeight="1">
      <c s="12" r="B47" t="str">
        <v>EDAD — años desde una fecha</v>
      </c>
      <c s="13" r="C47" t="str">
        <v>=EDAD(DATE(1990,6,15))</v>
      </c>
      <c s="14" r="D47">
        <f>EDAD(DATE(1990,6,15))</f>
        <v>36</v>
      </c>
    </row>
    <row r="48" ht="20.25" customHeight="1">
      <c s="12" r="B48" t="str">
        <v>TRIMESTRE — 1..4 de una fecha</v>
      </c>
      <c s="13" r="C48" t="str">
        <v>=TRIMESTRE(DATE(2026,8,1))</v>
      </c>
      <c s="14" r="D48">
        <f>TRIMESTRE(DATE(2026,8,1))</f>
        <v>3</v>
      </c>
    </row>
    <row r="49" ht="20.25" customHeight="1">
      <c s="11" r="A49" t="str">
        <v>Web / XML</v>
      </c>
    </row>
    <row r="50" ht="20.25" customHeight="1">
      <c s="12" r="B50" t="str">
        <v>ENCODEURL — codifica una URL</v>
      </c>
      <c s="13" r="C50" t="str">
        <v>=ENCODEURL("a b&amp;c")</v>
      </c>
      <c s="14" r="D50" t="str">
        <f>ENCODEURL("a b&amp;c")</f>
        <v>a%20b%26c</v>
      </c>
    </row>
    <row r="51" ht="20.25" customHeight="1">
      <c s="12" r="B51" t="str">
        <v>FILTERXML — XPath sobre XML</v>
      </c>
      <c s="13" r="C51" t="str">
        <v>=FILTERXML("&lt;r&gt;&lt;i&gt;7&lt;/i&gt;&lt;/r&gt;","//i")</v>
      </c>
      <c s="14" r="D51">
        <f>FILTERXML("&lt;r&gt;&lt;i&gt;7&lt;/i&gt;&lt;/r&gt;","//i")</f>
        <v>7</v>
      </c>
    </row>
    <row r="52" ht="20.25" customHeight="1">
      <c s="12" r="B52" t="str">
        <v>WEBSERVICE — texto de una URL</v>
      </c>
      <c s="13" r="C52" t="str">
        <v>=WEBSERVICE("https://api.github.com/zen")</v>
      </c>
    </row>
  </sheetData>
  <mergeCells count="10">
    <mergeCell ref="A1:D1"/>
    <mergeCell ref="A2:D2"/>
    <mergeCell ref="A5:D5"/>
    <mergeCell ref="A15:D15"/>
    <mergeCell ref="A21:D21"/>
    <mergeCell ref="A29:D29"/>
    <mergeCell ref="A36:D36"/>
    <mergeCell ref="A41:D41"/>
    <mergeCell ref="A46:D46"/>
    <mergeCell ref="A49:D49"/>
  </mergeCells>
  <ignoredErrors>
    <ignoredError numberStoredAsText="1" sqref="A1:D52"/>
  </ignoredErrors>
  <pageMargins left="0.7" right="0.7" top="0.75" bottom="0.75" header="0.3" footer="0.3"/>
  <pageSetup paperSize="9" scale="100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5" topLeftCell="A6" activePane="bottomLeft" state="frozen"/>
    </sheetView>
  </sheetViews>
  <cols>
    <col min="1" max="1" width="4.00390625" customWidth="1"/>
    <col min="2" max="2" width="30.00390625" customWidth="1"/>
    <col min="3" max="3" width="90.00390625" customWidth="1"/>
  </cols>
  <sheetData>
    <row r="1" ht="26.25" customHeight="1">
      <c s="1" r="A1" t="str">
        <v>⚡ Macros — automatización con JavaScript</v>
      </c>
    </row>
    <row r="2">
      <c s="2" r="A2" t="str">
        <v>Pega el código en el botón ⚡ Macro de XlsView y pulsa Ejecutar. Estas ya vienen precargadas en la app.</v>
      </c>
    </row>
    <row r="3">
      <c s="19" r="A3" t="str">
        <v>API disponible:  sheet · cell(fila,col) · range(f,c,nf,nc) · rows · cols · api · workbook · toast(msg)   —   índices 0-based.</v>
      </c>
    </row>
    <row r="5">
      <c s="10" r="B5" t="str">
        <v>Macro</v>
      </c>
      <c s="10" r="C5" t="str">
        <v>Código (cópialo al botón ⚡ Macro)</v>
      </c>
    </row>
    <row r="6" ht="56.25" customHeight="1" xml:space="preserve">
      <c s="20" r="B6" t="str">
        <v>Numerar filas</v>
      </c>
      <c s="21" r="C6" t="str" xml:space="preserve">
        <v xml:space="preserve">// Numera la primera columna desde la fila 6.
var desde = 5, cuantas = 10;
for (var i = 0; i &lt; cuantas; i++) cell(desde + i, 0).setValue(i + 1);
toast('Numeradas ' + cuantas + ' filas');</v>
      </c>
    </row>
    <row r="7" ht="111.75" customHeight="1" xml:space="preserve">
      <c s="20" r="B7" t="str">
        <v>Fila de totales</v>
      </c>
      <c s="21" r="C7" t="str" xml:space="preserve">
        <v xml:space="preserve">// Suma columnas D..G del rango de datos y escribe la fila de totales.
var fIni = 5, fFin = 15, cIni = 3, cFin = 6, fTot = fFin + 1;
for (var c = cIni; c &lt;= cFin; c++) {
  var L = String.fromCharCode(65 + c);
  cell(fTot, c).setValue('=SUM(' + L + (fIni+1) + ':' + L + (fFin+1) + ')');
}
cell(fTot, cIni - 1).setValue('TOTAL');
toast('Totales agregados');</v>
      </c>
    </row>
    <row r="8" ht="98.25" customHeight="1" xml:space="preserve">
      <c s="20" r="B8" t="str">
        <v>Resaltar negativos</v>
      </c>
      <c s="21" r="C8" t="str" xml:space="preserve">
        <v xml:space="preserve">// Pinta de rojo los números negativos del rango.
var f0=5, f1=30, c0=3, c1=7;
for (var r=f0; r&lt;=f1; r++) for (var c=c0; c&lt;=c1; c++) {
  var v = cell(r,c).getValue();
  if (typeof v==='number' &amp;&amp; v&lt;0) cell(r,c).setFontColor('#c0392b');
}
toast('Negativos resaltados');</v>
      </c>
    </row>
    <row r="9" ht="56.25" customHeight="1" xml:space="preserve">
      <c s="20" r="B9" t="str">
        <v>Rellenar serie</v>
      </c>
      <c s="21" r="C9" t="str" xml:space="preserve">
        <v xml:space="preserve">// Rellena B6:B25 con una progresión (inicio 100, paso 25).
var inicio=100, paso=25;
for (var i=0; i&lt;20; i++) cell(5+i, 1).setValue(inicio + i*paso);
toast('Serie generada');</v>
      </c>
    </row>
    <row r="10" ht="111.75" customHeight="1" xml:space="preserve">
      <c s="20" r="B10" t="str">
        <v>Encabezado con estilo</v>
      </c>
      <c s="21" r="C10" t="str" xml:space="preserve">
        <v xml:space="preserve">// Escribe y da formato a una fila de encabezado (fila 6, A..E).
var tit = ['Ítem','Descripción','Cantidad','Precio','Total'];
for (var c=0; c&lt;tit.length; c++) {
  var cel = cell(5, c);
  cel.setValue(tit[c]);
  cel.setFontWeight('bold').setFontColor('#ffffff').setBackground('#1F4E78');
}
toast('Encabezado creado');</v>
      </c>
    </row>
    <row r="11" ht="126" customHeight="1" xml:space="preserve">
      <c s="20" r="B11" t="str">
        <v>Suma rápida de la selección</v>
      </c>
      <c s="21" r="C11" t="str" xml:space="preserve">
        <v xml:space="preserve">// Suma el rango seleccionado y muestra el total.
var sel = sheet.getActiveRange ? sheet.getActiveRange() : null;
if (!sel) { toast('Selecciona un rango'); }
else {
  var vals = sel.getValues(), t = 0;
  for (var i=0;i&lt;vals.length;i++) for (var j=0;j&lt;vals[i].length;j++)
    if (typeof vals[i][j]==='number') t += vals[i][j];
  toast('Suma = ' + t);
}</v>
      </c>
    </row>
  </sheetData>
  <mergeCells count="3">
    <mergeCell ref="A1:C1"/>
    <mergeCell ref="A2:C2"/>
    <mergeCell ref="A3:C3"/>
  </mergeCells>
  <ignoredErrors>
    <ignoredError numberStoredAsText="1" sqref="A1:C11"/>
  </ignoredErrors>
  <pageMargins left="0.7" right="0.7" top="0.75" bottom="0.75" header="0.3" footer="0.3"/>
  <pageSetup paperSize="9" scale="100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pane ySplit="4" topLeftCell="A5" activePane="bottomLeft" state="frozen"/>
    </sheetView>
  </sheetViews>
  <cols>
    <col min="1" max="1" width="4.00390625" customWidth="1"/>
    <col min="2" max="2" width="34.00390625" customWidth="1"/>
    <col min="3" max="3" width="34.00390625" customWidth="1"/>
    <col min="4" max="4" width="44.00390625" customWidth="1"/>
  </cols>
  <sheetData>
    <row r="1" ht="26.25" customHeight="1">
      <c s="1" r="A1" t="str">
        <v>⚠️ Limitaciones y cómo sortearlas</v>
      </c>
    </row>
    <row r="2">
      <c s="2" r="A2" t="str">
        <v>El motor calcula arrays internamente, pero el preset actual no los DERRAMA (spill) en varias celdas.</v>
      </c>
    </row>
    <row r="4">
      <c s="10" r="B4" t="str">
        <v>Función</v>
      </c>
      <c s="10" r="C4" t="str">
        <v>Resultado en XlsView</v>
      </c>
      <c s="10" r="D4" t="str">
        <v>Alternativa que sí funciona</v>
      </c>
    </row>
    <row r="5" ht="21.75" customHeight="1">
      <c s="22" r="B5" t="str">
        <v>SEQUENCE(n)</v>
      </c>
      <c s="23" r="C5" t="str">
        <v>#REF! (ni envuelta)</v>
      </c>
      <c s="24" r="D5" t="str">
        <v>Generar la serie con una macro, o escribirla a mano</v>
      </c>
    </row>
    <row r="6" ht="21.75" customHeight="1">
      <c s="25" r="B6" t="str">
        <v>FILTER(rango,cond)</v>
      </c>
      <c s="26" r="C6" t="str">
        <v>#SPILL!</v>
      </c>
      <c s="27" r="D6" t="str">
        <v>Usar SUMIF/COUNTIF, o SUMPRODUCT con la condición</v>
      </c>
    </row>
    <row r="7" ht="21.75" customHeight="1">
      <c s="22" r="B7" t="str">
        <v>SORT(rango)</v>
      </c>
      <c s="23" r="C7" t="str">
        <v>#SPILL!</v>
      </c>
      <c s="24" r="D7" t="str">
        <v>Ordenar los datos manualmente en la hoja (menú de datos)</v>
      </c>
    </row>
    <row r="8" ht="21.75" customHeight="1">
      <c s="25" r="B8" t="str">
        <v>UNIQUE(rango)</v>
      </c>
      <c s="26" r="C8" t="str">
        <v>#SPILL!</v>
      </c>
      <c s="27" r="D8" t="str">
        <v>Quitar duplicados a mano, o COUNTIF para marcar repetidos</v>
      </c>
    </row>
    <row r="9" ht="21.75" customHeight="1">
      <c s="22" r="B9" t="str">
        <v>MAP(...) sola</v>
      </c>
      <c s="23" r="C9" t="str">
        <v>#SPILL!</v>
      </c>
      <c s="24" r="D9" t="str">
        <v>Envolver en SUM/MAX: SÍ funciona =SUM(MAP(...))</v>
      </c>
    </row>
    <row r="10" ht="21.75" customHeight="1">
      <c s="25" r="B10" t="str">
        <v>CUBEMEMBER, CUBEVALUE…</v>
      </c>
      <c s="26" r="C10" t="str">
        <v>#NAME? (sin OLAP)</v>
      </c>
      <c s="27" r="D10" t="str">
        <v>Las 7 funciones de cubo necesitan un servidor OLAP; no aplican sin backend</v>
      </c>
    </row>
    <row r="11" ht="21.75" customHeight="1">
      <c s="22" r="B11" t="str">
        <v>Funciones async (Promise)</v>
      </c>
      <c s="23" r="C11" t="str">
        <v>#SPILL!</v>
      </c>
      <c s="24" r="D11" t="str">
        <v>El motor no admite async; para red usar WEBSERVICE (caché síncrona del host)</v>
      </c>
    </row>
    <row r="13">
      <c s="28" r="B13" t="str">
        <v>✔ MAP y REDUCE SÍ funcionan si su array se consume dentro de una función:</v>
      </c>
    </row>
    <row r="14">
      <c s="29" r="B14" t="str">
        <v>SUM(MAP({2,4,6},LAMBDA(v,v*v))) = 4+16+36</v>
      </c>
      <c s="14" r="C14">
        <f>SUM(MAP({2,4,6},LAMBDA(v,v*v)))</f>
        <v>56</v>
      </c>
    </row>
    <row r="15">
      <c s="29" r="B15" t="str">
        <v>REDUCE(0,{1,2,3,4,5},LAMBDA(a,v,a+v))</v>
      </c>
      <c s="14" r="C15">
        <f>REDUCE(0,{1,2,3,4,5},LAMBDA(a,v,a+v))</f>
        <v>15</v>
      </c>
    </row>
    <row r="16">
      <c s="29" r="B16" t="str">
        <v>SUM({1,2,3,4,5}) — matriz literal</v>
      </c>
      <c s="14" r="C16">
        <f>SUM({1,2,3,4,5})</f>
        <v>15</v>
      </c>
    </row>
  </sheetData>
  <mergeCells count="3">
    <mergeCell ref="A1:D1"/>
    <mergeCell ref="A2:D2"/>
    <mergeCell ref="B13:D13"/>
  </mergeCells>
  <ignoredErrors>
    <ignoredError numberStoredAsText="1" sqref="A1:D16"/>
  </ignoredErrors>
  <pageMargins left="0.7" right="0.7" top="0.75" bottom="0.75" header="0.3" footer="0.3"/>
  <pageSetup paperSize="9" scale="10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Índice</vt:lpstr>
      <vt:lpstr>Fórmulas</vt:lpstr>
      <vt:lpstr>Anidamientos</vt:lpstr>
      <vt:lpstr>Funciones</vt:lpstr>
      <vt:lpstr>Funciones propias</vt:lpstr>
      <vt:lpstr>Banco de funciones</vt:lpstr>
      <vt:lpstr>Macros</vt:lpstr>
      <vt:lpstr>Limitaciones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